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£#,##0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55555"/>
      <sz val="9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1" customWidth="1" min="3" max="3"/>
    <col width="22" customWidth="1" min="4" max="4"/>
    <col width="18" customWidth="1" min="5" max="5"/>
    <col width="24" customWidth="1" min="6" max="6"/>
  </cols>
  <sheetData>
    <row r="1">
      <c r="A1" s="1" t="inlineStr">
        <is>
          <t>Project Harbor — Tindale Precision Coatings Limited</t>
        </is>
      </c>
    </row>
    <row r="2">
      <c r="A2" s="2" t="inlineStr">
        <is>
          <t>Pre-completion capitalisation and allocation of Initial Consideration (£37,900,000)</t>
        </is>
      </c>
    </row>
    <row r="3">
      <c r="A3" s="2" t="inlineStr">
        <is>
          <t>Enterprise value £41,500,000 less estimated net debt £3,600,000 = equity Initial Consideration £37,900,000</t>
        </is>
      </c>
    </row>
    <row r="5">
      <c r="A5" s="3" t="inlineStr">
        <is>
          <t>Shareholder</t>
        </is>
      </c>
      <c r="B5" s="3" t="inlineStr">
        <is>
          <t>Ordinary Shares (£1)</t>
        </is>
      </c>
      <c r="C5" s="3" t="inlineStr">
        <is>
          <t>% Holding</t>
        </is>
      </c>
      <c r="D5" s="3" t="inlineStr">
        <is>
          <t>Gross Consideration (£)</t>
        </is>
      </c>
      <c r="E5" s="3" t="inlineStr">
        <is>
          <t>Retention 10% (£)</t>
        </is>
      </c>
      <c r="F5" s="3" t="inlineStr">
        <is>
          <t>Net Cash at Completion (£)</t>
        </is>
      </c>
    </row>
    <row r="6">
      <c r="A6" s="4" t="inlineStr">
        <is>
          <t>Geoffrey Alan Tindale</t>
        </is>
      </c>
      <c r="B6" s="5" t="n">
        <v>600000</v>
      </c>
      <c r="C6" s="6">
        <f>B6/$B$9</f>
        <v/>
      </c>
      <c r="D6" s="7">
        <f>C6*37900000</f>
        <v/>
      </c>
      <c r="E6" s="7">
        <f>D6*0.1</f>
        <v/>
      </c>
      <c r="F6" s="7">
        <f>D6-E6</f>
        <v/>
      </c>
    </row>
    <row r="7">
      <c r="A7" s="4" t="inlineStr">
        <is>
          <t>Margaret Elizabeth Tindale</t>
        </is>
      </c>
      <c r="B7" s="5" t="n">
        <v>250000</v>
      </c>
      <c r="C7" s="6">
        <f>B7/$B$9</f>
        <v/>
      </c>
      <c r="D7" s="7">
        <f>C7*37900000</f>
        <v/>
      </c>
      <c r="E7" s="7">
        <f>D7*0.1</f>
        <v/>
      </c>
      <c r="F7" s="7">
        <f>D7-E7</f>
        <v/>
      </c>
    </row>
    <row r="8">
      <c r="A8" s="4" t="inlineStr">
        <is>
          <t>Aldermarsh Nominees Limited</t>
        </is>
      </c>
      <c r="B8" s="5" t="n">
        <v>150000</v>
      </c>
      <c r="C8" s="6">
        <f>B8/$B$9</f>
        <v/>
      </c>
      <c r="D8" s="7">
        <f>C8*37900000</f>
        <v/>
      </c>
      <c r="E8" s="7">
        <f>D8*0.1</f>
        <v/>
      </c>
      <c r="F8" s="7">
        <f>D8-E8</f>
        <v/>
      </c>
    </row>
    <row r="9">
      <c r="A9" s="8" t="inlineStr">
        <is>
          <t>Total</t>
        </is>
      </c>
      <c r="B9" s="9">
        <f>SUM(B6:B8)</f>
        <v/>
      </c>
      <c r="C9" s="10">
        <f>SUM(C6:C8)</f>
        <v/>
      </c>
      <c r="D9" s="11">
        <f>SUM(D6:D8)</f>
        <v/>
      </c>
      <c r="E9" s="11">
        <f>SUM(E6:E8)</f>
        <v/>
      </c>
      <c r="F9" s="11">
        <f>SUM(F6:F8)</f>
        <v/>
      </c>
    </row>
    <row r="12">
      <c r="A12" s="8" t="inlineStr">
        <is>
          <t>Equity bridge</t>
        </is>
      </c>
      <c r="B12" s="4" t="n"/>
      <c r="C12" s="4" t="n"/>
      <c r="D12" s="4" t="n"/>
    </row>
    <row r="13">
      <c r="A13" s="4" t="inlineStr">
        <is>
          <t>Enterprise value</t>
        </is>
      </c>
      <c r="B13" s="4" t="n"/>
      <c r="C13" s="4" t="n"/>
      <c r="D13" s="7" t="n">
        <v>41500000</v>
      </c>
    </row>
    <row r="14">
      <c r="A14" s="4" t="inlineStr">
        <is>
          <t>Less: estimated net debt</t>
        </is>
      </c>
      <c r="B14" s="4" t="n"/>
      <c r="C14" s="4" t="n"/>
      <c r="D14" s="7" t="n">
        <v>-3600000</v>
      </c>
    </row>
    <row r="15">
      <c r="A15" s="8" t="inlineStr">
        <is>
          <t>Initial Consideration (equity)</t>
        </is>
      </c>
      <c r="B15" s="4" t="n"/>
      <c r="C15" s="4" t="n"/>
      <c r="D15" s="11" t="n">
        <v>37900000</v>
      </c>
    </row>
    <row r="16">
      <c r="A16" s="4" t="inlineStr">
        <is>
          <t>Of which: Retention (escrow, 18 months)</t>
        </is>
      </c>
      <c r="B16" s="4" t="n"/>
      <c r="C16" s="4" t="n"/>
      <c r="D16" s="7" t="n">
        <v>-3790000</v>
      </c>
    </row>
    <row r="17">
      <c r="A17" s="8" t="inlineStr">
        <is>
          <t>Cash to Sellers' Solicitors at Completion</t>
        </is>
      </c>
      <c r="B17" s="4" t="n"/>
      <c r="C17" s="4" t="n"/>
      <c r="D17" s="11" t="n">
        <v>34110000</v>
      </c>
    </row>
    <row r="18">
      <c r="A18" s="4" t="inlineStr">
        <is>
          <t>Plus: potential earn-out (FY27 EBITDA, max)</t>
        </is>
      </c>
      <c r="B18" s="4" t="n"/>
      <c r="C18" s="4" t="n"/>
      <c r="D18" s="7" t="n">
        <v>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2026-06-27T14:32:51Z</dcterms:created>
  <dcterms:modified xmlns:dcterms="http://purl.org/dc/terms/" xmlns:xsi="http://www.w3.org/2001/XMLSchema-instance" xsi:type="dcterms:W3CDTF">2026-06-27T14:32:51Z</dcterms:modified>
</cp:coreProperties>
</file>