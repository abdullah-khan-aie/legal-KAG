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6" customWidth="1" min="3" max="3"/>
    <col width="18" customWidth="1" min="4" max="4"/>
  </cols>
  <sheetData>
    <row r="1">
      <c r="A1" s="1" t="inlineStr">
        <is>
          <t>Project Harbor — Completion Statement / Price Adjustment</t>
        </is>
      </c>
    </row>
    <row r="2">
      <c r="A2" s="2" t="inlineStr">
        <is>
          <t>Draft completion accounts basis | Estimated net debt £3,600,000; Working capital target £1,300,000</t>
        </is>
      </c>
    </row>
    <row r="4">
      <c r="A4" s="3" t="inlineStr">
        <is>
          <t>Item</t>
        </is>
      </c>
      <c r="B4" s="3" t="inlineStr">
        <is>
          <t>Estimated at Completion (£)</t>
        </is>
      </c>
      <c r="C4" s="3" t="inlineStr">
        <is>
          <t>Per Completion Accounts (£)</t>
        </is>
      </c>
      <c r="D4" s="3" t="inlineStr">
        <is>
          <t>Adjustment (£)</t>
        </is>
      </c>
    </row>
    <row r="5">
      <c r="A5" s="4" t="inlineStr">
        <is>
          <t>Cash and cash equivalents</t>
        </is>
      </c>
      <c r="B5" s="5" t="n">
        <v>1180000</v>
      </c>
      <c r="C5" s="5" t="n">
        <v>1242000</v>
      </c>
      <c r="D5" s="5">
        <f>C5-B5</f>
        <v/>
      </c>
    </row>
    <row r="6">
      <c r="A6" s="4" t="inlineStr">
        <is>
          <t>Bank borrowings</t>
        </is>
      </c>
      <c r="B6" s="5" t="n">
        <v>-4500000</v>
      </c>
      <c r="C6" s="5" t="n">
        <v>-4500000</v>
      </c>
      <c r="D6" s="5">
        <f>C6-B6</f>
        <v/>
      </c>
    </row>
    <row r="7">
      <c r="A7" s="4" t="inlineStr">
        <is>
          <t>Finance leases / HP</t>
        </is>
      </c>
      <c r="B7" s="5" t="n">
        <v>-280000</v>
      </c>
      <c r="C7" s="5" t="n">
        <v>-296000</v>
      </c>
      <c r="D7" s="5">
        <f>C7-B7</f>
        <v/>
      </c>
    </row>
    <row r="8">
      <c r="A8" s="6" t="inlineStr">
        <is>
          <t>Net debt</t>
        </is>
      </c>
      <c r="B8" s="7">
        <f>SUM(B5:B7)</f>
        <v/>
      </c>
      <c r="C8" s="7">
        <f>SUM(C5:C7)</f>
        <v/>
      </c>
      <c r="D8" s="7">
        <f>C8-B8</f>
        <v/>
      </c>
    </row>
    <row r="10">
      <c r="A10" s="8" t="inlineStr">
        <is>
          <t>Working capital</t>
        </is>
      </c>
      <c r="B10" s="4" t="n"/>
      <c r="C10" s="4" t="n"/>
      <c r="D10" s="4" t="n"/>
    </row>
    <row r="11">
      <c r="A11" s="4" t="inlineStr">
        <is>
          <t>Trade and other receivables</t>
        </is>
      </c>
      <c r="B11" s="5" t="n">
        <v>3120000</v>
      </c>
      <c r="C11" s="5" t="n">
        <v>3041000</v>
      </c>
      <c r="D11" s="5">
        <f>C11-B11</f>
        <v/>
      </c>
    </row>
    <row r="12">
      <c r="A12" s="4" t="inlineStr">
        <is>
          <t>Inventories</t>
        </is>
      </c>
      <c r="B12" s="5" t="n">
        <v>1860000</v>
      </c>
      <c r="C12" s="5" t="n">
        <v>1903000</v>
      </c>
      <c r="D12" s="5">
        <f>C12-B12</f>
        <v/>
      </c>
    </row>
    <row r="13">
      <c r="A13" s="4" t="inlineStr">
        <is>
          <t>Trade and other payables</t>
        </is>
      </c>
      <c r="B13" s="5" t="n">
        <v>-2310000</v>
      </c>
      <c r="C13" s="5" t="n">
        <v>-2418000</v>
      </c>
      <c r="D13" s="5">
        <f>C13-B13</f>
        <v/>
      </c>
    </row>
    <row r="14">
      <c r="A14" s="4" t="inlineStr">
        <is>
          <t>Accruals and other current liabilities</t>
        </is>
      </c>
      <c r="B14" s="5" t="n">
        <v>-1140000</v>
      </c>
      <c r="C14" s="5" t="n">
        <v>-1182000</v>
      </c>
      <c r="D14" s="5">
        <f>C14-B14</f>
        <v/>
      </c>
    </row>
    <row r="15">
      <c r="A15" s="6" t="inlineStr">
        <is>
          <t>Working capital</t>
        </is>
      </c>
      <c r="B15" s="7">
        <f>SUM(B11:B14)</f>
        <v/>
      </c>
      <c r="C15" s="7">
        <f>SUM(C11:C14)</f>
        <v/>
      </c>
      <c r="D15" s="7">
        <f>C15-B15</f>
        <v/>
      </c>
    </row>
    <row r="17">
      <c r="A17" s="6" t="inlineStr">
        <is>
          <t>PRICE ADJUSTMENT SUMMARY</t>
        </is>
      </c>
      <c r="B17" s="4" t="n"/>
      <c r="C17" s="4" t="n"/>
      <c r="D17" s="4" t="n"/>
    </row>
    <row r="18">
      <c r="A18" s="4" t="inlineStr">
        <is>
          <t>Net debt adjustment (lower net debt favours Sellers)</t>
        </is>
      </c>
      <c r="B18" s="4" t="n"/>
      <c r="C18" s="4" t="n"/>
      <c r="D18" s="5">
        <f>C8-B8</f>
        <v/>
      </c>
    </row>
    <row r="19">
      <c r="A19" s="4" t="inlineStr">
        <is>
          <t>Working capital adjustment vs target £1,300,000</t>
        </is>
      </c>
      <c r="B19" s="4" t="n"/>
      <c r="C19" s="4" t="n"/>
      <c r="D19" s="5">
        <f>C15-1300000</f>
        <v/>
      </c>
    </row>
    <row r="20">
      <c r="A20" s="6" t="inlineStr">
        <is>
          <t>Net adjustment to Initial Consideration</t>
        </is>
      </c>
      <c r="B20" s="4" t="n"/>
      <c r="C20" s="4" t="n"/>
      <c r="D20" s="7">
        <f>D18+D19</f>
        <v/>
      </c>
    </row>
    <row r="21">
      <c r="A21" s="6" t="inlineStr">
        <is>
          <t>Adjusted Initial Consideration</t>
        </is>
      </c>
      <c r="B21" s="4" t="n"/>
      <c r="C21" s="4" t="n"/>
      <c r="D21" s="7">
        <f>37900000+D20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2026-06-27T14:32:51Z</dcterms:created>
  <dcterms:modified xmlns:dcterms="http://purl.org/dc/terms/" xmlns:xsi="http://www.w3.org/2001/XMLSchema-instance" xsi:type="dcterms:W3CDTF">2026-06-27T14:32:51Z</dcterms:modified>
</cp:coreProperties>
</file>