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s 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"/>
  </numFmts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55555"/>
      <sz val="9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6" customWidth="1" min="1" max="1"/>
    <col width="40" customWidth="1" min="2" max="2"/>
    <col width="18" customWidth="1" min="3" max="3"/>
  </cols>
  <sheetData>
    <row r="1">
      <c r="A1" s="1" t="inlineStr">
        <is>
          <t>Project Harbor — Completion Funds Flow Statement</t>
        </is>
      </c>
    </row>
    <row r="2">
      <c r="A2" s="2" t="inlineStr">
        <is>
          <t>Completion date: 4 December 2025 | All amounts in GBP</t>
        </is>
      </c>
    </row>
    <row r="4">
      <c r="A4" s="3" t="inlineStr">
        <is>
          <t>SOURCES OF FUNDS</t>
        </is>
      </c>
    </row>
    <row r="5">
      <c r="A5" s="4" t="inlineStr">
        <is>
          <t>Source</t>
        </is>
      </c>
      <c r="B5" s="4" t="inlineStr">
        <is>
          <t>Provider</t>
        </is>
      </c>
      <c r="C5" s="4" t="inlineStr">
        <is>
          <t>Amount (£)</t>
        </is>
      </c>
    </row>
    <row r="6">
      <c r="A6" s="5" t="inlineStr">
        <is>
          <t>Equity contribution</t>
        </is>
      </c>
      <c r="B6" s="5" t="inlineStr">
        <is>
          <t>Crestview Capital Fund IV LP</t>
        </is>
      </c>
      <c r="C6" s="6" t="n">
        <v>21400000</v>
      </c>
    </row>
    <row r="7">
      <c r="A7" s="5" t="inlineStr">
        <is>
          <t>Senior acquisition facility</t>
        </is>
      </c>
      <c r="B7" s="5" t="inlineStr">
        <is>
          <t>Clydesford Bank plc</t>
        </is>
      </c>
      <c r="C7" s="6" t="n">
        <v>18000000</v>
      </c>
    </row>
    <row r="8">
      <c r="A8" s="5" t="inlineStr">
        <is>
          <t>Cash equity (Bidco)</t>
        </is>
      </c>
      <c r="B8" s="5" t="inlineStr">
        <is>
          <t>Marwood Bidco Limited</t>
        </is>
      </c>
      <c r="C8" s="6" t="n">
        <v>290000</v>
      </c>
    </row>
    <row r="9">
      <c r="A9" s="7" t="inlineStr">
        <is>
          <t>Total sources</t>
        </is>
      </c>
      <c r="B9" s="5" t="n"/>
      <c r="C9" s="8">
        <f>SUM(C6:C8)</f>
        <v/>
      </c>
    </row>
    <row r="11">
      <c r="A11" s="3" t="inlineStr">
        <is>
          <t>APPLICATION OF FUNDS</t>
        </is>
      </c>
    </row>
    <row r="12">
      <c r="A12" s="4" t="inlineStr">
        <is>
          <t>Payment</t>
        </is>
      </c>
      <c r="B12" s="4" t="inlineStr">
        <is>
          <t>Payee</t>
        </is>
      </c>
      <c r="C12" s="4" t="inlineStr">
        <is>
          <t>Amount (£)</t>
        </is>
      </c>
    </row>
    <row r="13">
      <c r="A13" s="5" t="inlineStr">
        <is>
          <t>Initial Consideration — cash to Sellers</t>
        </is>
      </c>
      <c r="B13" s="5" t="inlineStr">
        <is>
          <t>Castle &amp; Vane LLP (Sellers' Solicitors)</t>
        </is>
      </c>
      <c r="C13" s="6" t="n">
        <v>34110000</v>
      </c>
    </row>
    <row r="14">
      <c r="A14" s="5" t="inlineStr">
        <is>
          <t>Retention Amount into escrow</t>
        </is>
      </c>
      <c r="B14" s="5" t="inlineStr">
        <is>
          <t>Joint Retention Account</t>
        </is>
      </c>
      <c r="C14" s="6" t="n">
        <v>3790000</v>
      </c>
    </row>
    <row r="15">
      <c r="A15" s="5" t="inlineStr">
        <is>
          <t>Repayment of Company bank debt at completion</t>
        </is>
      </c>
      <c r="B15" s="5" t="inlineStr">
        <is>
          <t>Clydesford Bank plc (existing facility)</t>
        </is>
      </c>
      <c r="C15" s="6" t="n">
        <v>1450000</v>
      </c>
    </row>
    <row r="16">
      <c r="A16" s="5" t="inlineStr">
        <is>
          <t>Sellers' transaction costs (per SPA)</t>
        </is>
      </c>
      <c r="B16" s="5" t="inlineStr">
        <is>
          <t>Castle &amp; Vane LLP</t>
        </is>
      </c>
      <c r="C16" s="6" t="n">
        <v>95000</v>
      </c>
    </row>
    <row r="17">
      <c r="A17" s="5" t="inlineStr">
        <is>
          <t>Buyer's legal fees</t>
        </is>
      </c>
      <c r="B17" s="5" t="inlineStr">
        <is>
          <t>Whitfield Carter LLP</t>
        </is>
      </c>
      <c r="C17" s="6" t="n">
        <v>188000</v>
      </c>
    </row>
    <row r="18">
      <c r="A18" s="5" t="inlineStr">
        <is>
          <t>Lender's arrangement fee</t>
        </is>
      </c>
      <c r="B18" s="5" t="inlineStr">
        <is>
          <t>Clydesford Bank plc</t>
        </is>
      </c>
      <c r="C18" s="6" t="n">
        <v>45000</v>
      </c>
    </row>
    <row r="19">
      <c r="A19" s="5" t="inlineStr">
        <is>
          <t>Stamp duty (0.5% on consideration)</t>
        </is>
      </c>
      <c r="B19" s="5" t="inlineStr">
        <is>
          <t>HMRC</t>
        </is>
      </c>
      <c r="C19" s="6" t="n">
        <v>12000</v>
      </c>
    </row>
    <row r="20">
      <c r="A20" s="7" t="inlineStr">
        <is>
          <t>Total uses</t>
        </is>
      </c>
      <c r="B20" s="5" t="n"/>
      <c r="C20" s="8">
        <f>SUM(C13:C19)</f>
        <v/>
      </c>
    </row>
    <row r="22">
      <c r="A22" s="3" t="inlineStr">
        <is>
          <t>Sources less uses (should be nil)</t>
        </is>
      </c>
      <c r="C22" s="9">
        <f>C9-C20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2026-06-27T14:32:51Z</dcterms:created>
  <dcterms:modified xmlns:dcterms="http://purl.org/dc/terms/" xmlns:xsi="http://www.w3.org/2001/XMLSchema-instance" xsi:type="dcterms:W3CDTF">2026-06-27T14:32:51Z</dcterms:modified>
</cp:coreProperties>
</file>