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m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<sst xmlns="http://schemas.openxmlformats.org/spreadsheetml/2006/main" count="28" uniqueCount="27">
  <si>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Project Ironvale — Completion Statement</t>
  </si>
  <si>
    <t xml:space="preserve">Derivation of cash payable at Completion (per SPA clause 3)</t>
  </si>
  <si>
    <t xml:space="preserve">Item</t>
  </si>
  <si>
    <t xml:space="preserve">£</t>
  </si>
  <si>
    <t xml:space="preserve">Note</t>
  </si>
  <si>
    <t xml:space="preserve">Agreed enterprise value</t>
  </si>
  <si>
    <t xml:space="preserve">Cash-free / debt-free</t>
  </si>
  <si>
    <t xml:space="preserve">less: Estimated net debt at Completion</t>
  </si>
  <si>
    <t xml:space="preserve">Sellers' estimate</t>
  </si>
  <si>
    <t xml:space="preserve">Initial Consideration (equity value)</t>
  </si>
  <si>
    <t xml:space="preserve">EV less estimated net debt</t>
  </si>
  <si>
    <t xml:space="preserve">less: Escrow Amount retained</t>
  </si>
  <si>
    <t xml:space="preserve">To joint escrow, 18 months</t>
  </si>
  <si>
    <t xml:space="preserve">Cash payable to Sellers at Completion</t>
  </si>
  <si>
    <t xml:space="preserve">Paid to Sellers' Solicitors</t>
  </si>
  <si>
    <t xml:space="preserve">Post-completion adjustment (illustrative — finalised by Completion Accounts)</t>
  </si>
  <si>
    <t xml:space="preserve">Estimated £</t>
  </si>
  <si>
    <t xml:space="preserve">Actual £ (Completion Accounts)</t>
  </si>
  <si>
    <t xml:space="preserve">Adjustment £</t>
  </si>
  <si>
    <t xml:space="preserve">Target working capital</t>
  </si>
  <si>
    <t xml:space="preserve">Actual working capital</t>
  </si>
  <si>
    <t xml:space="preserve">Working-capital adjustment (actual less target)</t>
  </si>
  <si>
    <t xml:space="preserve">Net debt</t>
  </si>
  <si>
    <t xml:space="preserve">Net-debt adjustment (estimate less actual)</t>
  </si>
  <si>
    <t xml:space="preserve">Net adjusting payment (Buyer to Seller if positive)</t>
  </si>
  <si>
    <t xml:space="preserve">Final cash consideration to Sellers</t>
  </si>
  <si>
    <t xml:space="preserve">Source: SPA Schedule 6 (Completion Accounts). Blue = hardcoded input.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</si>
</sst>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42500000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-1300000</v>
      </c>
      <c r="C6" s="6" t="s">
        <v>8</v>
      </c>
    </row>
    <row r="7" customFormat="false" ht="15" hidden="false" customHeight="false" outlineLevel="0" collapsed="false">
      <c r="A7" s="7" t="s">
        <v>9</v>
      </c>
      <c r="B7" s="8" t="n">
        <f aca="false">B5+B6</f>
        <v>41200000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-2000000</v>
      </c>
      <c r="C8" s="6" t="s">
        <v>12</v>
      </c>
    </row>
    <row r="9" customFormat="false" ht="15" hidden="false" customHeight="false" outlineLevel="0" collapsed="false">
      <c r="A9" s="7" t="s">
        <v>13</v>
      </c>
      <c r="B9" s="8" t="n">
        <f aca="false">B7+B8</f>
        <v>39200000</v>
      </c>
      <c r="C9" s="6" t="s">
        <v>14</v>
      </c>
    </row>
    <row r="11" customFormat="false" ht="15" hidden="false" customHeight="false" outlineLevel="0" collapsed="false">
      <c r="A11" s="9" t="s">
        <v>15</v>
      </c>
    </row>
    <row r="12" customFormat="false" ht="15" hidden="false" customHeight="false" outlineLevel="0" collapsed="false">
      <c r="A12" s="3" t="s">
        <v>2</v>
      </c>
      <c r="B12" s="3" t="s">
        <v>16</v>
      </c>
      <c r="C12" s="3" t="s">
        <v>17</v>
      </c>
      <c r="D12" s="3" t="s">
        <v>18</v>
      </c>
    </row>
    <row r="13" customFormat="false" ht="15" hidden="false" customHeight="false" outlineLevel="0" collapsed="false">
      <c r="A13" s="4" t="s">
        <v>19</v>
      </c>
      <c r="B13" s="5" t="n">
        <v>3600000</v>
      </c>
      <c r="C13" s="10" t="n">
        <v>3600000</v>
      </c>
      <c r="D13" s="11"/>
    </row>
    <row r="14" customFormat="false" ht="15" hidden="false" customHeight="false" outlineLevel="0" collapsed="false">
      <c r="A14" s="4" t="s">
        <v>20</v>
      </c>
      <c r="B14" s="11"/>
      <c r="C14" s="5" t="n">
        <v>3742000</v>
      </c>
      <c r="D14" s="11"/>
    </row>
    <row r="15" customFormat="false" ht="15" hidden="false" customHeight="false" outlineLevel="0" collapsed="false">
      <c r="A15" s="7" t="s">
        <v>21</v>
      </c>
      <c r="B15" s="11"/>
      <c r="C15" s="11"/>
      <c r="D15" s="8" t="n">
        <f aca="false">C14-C13</f>
        <v>142000</v>
      </c>
    </row>
    <row r="16" customFormat="false" ht="15" hidden="false" customHeight="false" outlineLevel="0" collapsed="false">
      <c r="A16" s="4" t="s">
        <v>22</v>
      </c>
      <c r="B16" s="5" t="n">
        <v>1300000</v>
      </c>
      <c r="C16" s="5" t="n">
        <v>1418000</v>
      </c>
      <c r="D16" s="11"/>
    </row>
    <row r="17" customFormat="false" ht="15" hidden="false" customHeight="false" outlineLevel="0" collapsed="false">
      <c r="A17" s="7" t="s">
        <v>23</v>
      </c>
      <c r="B17" s="11"/>
      <c r="C17" s="11"/>
      <c r="D17" s="8" t="n">
        <f aca="false">B16-C16</f>
        <v>-118000</v>
      </c>
    </row>
    <row r="18" customFormat="false" ht="15" hidden="false" customHeight="false" outlineLevel="0" collapsed="false">
      <c r="A18" s="7" t="s">
        <v>24</v>
      </c>
      <c r="B18" s="11"/>
      <c r="C18" s="11"/>
      <c r="D18" s="8" t="n">
        <f aca="false">D15+D17</f>
        <v>24000</v>
      </c>
    </row>
    <row r="19" customFormat="false" ht="15" hidden="false" customHeight="false" outlineLevel="0" collapsed="false">
      <c r="A19" s="7" t="s">
        <v>25</v>
      </c>
      <c r="B19" s="11"/>
      <c r="C19" s="11"/>
      <c r="D19" s="8" t="n">
        <f aca="false">B9+D18</f>
        <v>39224000</v>
      </c>
    </row>
    <row r="21" customFormat="false" ht="15" hidden="false" customHeight="false" outlineLevel="0" collapsed="false">
      <c r="A21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2026-06-29T13:09:11Z</dcterms:created>
  <dc:creator>openpyxl</dc:creator>
  <dc:description/>
  <dc:language>en-US</dc:language>
  <cp:lastModifiedBy/>
  <dcterms:modified xsi:type="dcterms:W3CDTF">2026-06-29T13:09:11Z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