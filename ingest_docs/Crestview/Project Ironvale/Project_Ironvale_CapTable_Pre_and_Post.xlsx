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p Tabl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<sst xmlns="http://schemas.openxmlformats.org/spreadsheetml/2006/main" count="27" uniqueCount="22">
  <si>
    <t xml:space="preserve">Project Ironvale — Stradbrook Thermal Limited</t>
  </si>
  <si>
    <t xml:space="preserve">Capitalisation table: pre-completion ownership and consideration apportionment</t>
  </si>
  <si>
    <t xml:space="preserve">Enterprise value (cash-free / debt-free)</t>
  </si>
  <si>
    <t xml:space="preserve">less: Estimated net debt at Completion</t>
  </si>
  <si>
    <t xml:space="preserve">Headline equity value (Initial Consideration)</t>
  </si>
  <si>
    <t xml:space="preserve">Shareholder</t>
  </si>
  <si>
    <t xml:space="preserve">Share class</t>
  </si>
  <si>
    <t xml:space="preserve">Shares held</t>
  </si>
  <si>
    <t xml:space="preserve">% holding</t>
  </si>
  <si>
    <t xml:space="preserve">Equity consideration (£)</t>
  </si>
  <si>
    <t xml:space="preserve">of which: Escrow (£)</t>
  </si>
  <si>
    <t xml:space="preserve">Net cash at Completion (£)</t>
  </si>
  <si>
    <t xml:space="preserve">Geoffrey Stradbrook</t>
  </si>
  <si>
    <t xml:space="preserve">Ordinary £1</t>
  </si>
  <si>
    <t xml:space="preserve">Helen Stradbrook</t>
  </si>
  <si>
    <t xml:space="preserve">Camberwell Growth Capital LLP</t>
  </si>
  <si>
    <t xml:space="preserve">Total</t>
  </si>
  <si>
    <t xml:space="preserve">Escrow Amount (warranty/tax retention, 18 months)</t>
  </si>
  <si>
    <t xml:space="preserve">Post-completion ownership</t>
  </si>
  <si>
    <t xml:space="preserve">Shares</t>
  </si>
  <si>
    <t xml:space="preserve">Crestview Ironvale Bidco Limited</t>
  </si>
  <si>
    <t xml:space="preserve">Source: Heads of Terms (19 Sep 2025) and SPA Schedule 2. Blue = hardcoded input.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</si>
</sst>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;&quot;(£&quot;#,##0\);\-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i val="true"/>
      <sz val="10"/>
      <color rgb="FF555555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i val="true"/>
      <sz val="8"/>
      <color rgb="FF888888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88888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6"/>
    <col collapsed="false" customWidth="true" hidden="false" outlineLevel="0" max="4" min="4" style="0" width="13"/>
    <col collapsed="false" customWidth="true" hidden="false" outlineLevel="0" max="5" min="5" style="0" width="22"/>
    <col collapsed="false" customWidth="true" hidden="false" outlineLevel="0" max="6" min="6" style="0" width="20"/>
    <col collapsed="false" customWidth="true" hidden="false" outlineLevel="0" max="7" min="7" style="0" width="2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C3" s="4" t="n">
        <v>42500000</v>
      </c>
    </row>
    <row r="4" customFormat="false" ht="15" hidden="false" customHeight="false" outlineLevel="0" collapsed="false">
      <c r="A4" s="5" t="s">
        <v>3</v>
      </c>
      <c r="C4" s="4" t="n">
        <v>-1300000</v>
      </c>
    </row>
    <row r="5" customFormat="false" ht="15" hidden="false" customHeight="false" outlineLevel="0" collapsed="false">
      <c r="A5" s="3" t="s">
        <v>4</v>
      </c>
      <c r="C5" s="6" t="n">
        <f aca="false">C3+C4</f>
        <v>41200000</v>
      </c>
    </row>
    <row r="7" customFormat="false" ht="15" hidden="false" customHeight="false" outlineLevel="0" collapsed="false">
      <c r="A7" s="7" t="s">
        <v>5</v>
      </c>
      <c r="B7" s="7" t="s">
        <v>6</v>
      </c>
      <c r="C7" s="7" t="s">
        <v>7</v>
      </c>
      <c r="D7" s="7" t="s">
        <v>8</v>
      </c>
      <c r="E7" s="7" t="s">
        <v>9</v>
      </c>
      <c r="F7" s="7" t="s">
        <v>10</v>
      </c>
      <c r="G7" s="7" t="s">
        <v>11</v>
      </c>
    </row>
    <row r="8" customFormat="false" ht="15" hidden="false" customHeight="false" outlineLevel="0" collapsed="false">
      <c r="A8" s="8" t="s">
        <v>12</v>
      </c>
      <c r="B8" s="8" t="s">
        <v>13</v>
      </c>
      <c r="C8" s="9" t="n">
        <v>430000</v>
      </c>
      <c r="D8" s="10" t="n">
        <f aca="false">C8/$C$11</f>
        <v>0.43</v>
      </c>
      <c r="E8" s="11" t="n">
        <f aca="false">$C$5*D8</f>
        <v>17716000</v>
      </c>
      <c r="F8" s="11" t="n">
        <f aca="false">$C$13*D8</f>
        <v>860000</v>
      </c>
      <c r="G8" s="11" t="n">
        <f aca="false">E8-F8</f>
        <v>16856000</v>
      </c>
    </row>
    <row r="9" customFormat="false" ht="15" hidden="false" customHeight="false" outlineLevel="0" collapsed="false">
      <c r="A9" s="8" t="s">
        <v>14</v>
      </c>
      <c r="B9" s="8" t="s">
        <v>13</v>
      </c>
      <c r="C9" s="9" t="n">
        <v>170000</v>
      </c>
      <c r="D9" s="10" t="n">
        <f aca="false">C9/$C$11</f>
        <v>0.17</v>
      </c>
      <c r="E9" s="11" t="n">
        <f aca="false">$C$5*D9</f>
        <v>7004000</v>
      </c>
      <c r="F9" s="11" t="n">
        <f aca="false">$C$13*D9</f>
        <v>340000</v>
      </c>
      <c r="G9" s="11" t="n">
        <f aca="false">E9-F9</f>
        <v>6664000</v>
      </c>
    </row>
    <row r="10" customFormat="false" ht="15" hidden="false" customHeight="false" outlineLevel="0" collapsed="false">
      <c r="A10" s="8" t="s">
        <v>15</v>
      </c>
      <c r="B10" s="8" t="s">
        <v>13</v>
      </c>
      <c r="C10" s="9" t="n">
        <v>400000</v>
      </c>
      <c r="D10" s="10" t="n">
        <f aca="false">C10/$C$11</f>
        <v>0.4</v>
      </c>
      <c r="E10" s="11" t="n">
        <f aca="false">$C$5*D10</f>
        <v>16480000</v>
      </c>
      <c r="F10" s="11" t="n">
        <f aca="false">$C$13*D10</f>
        <v>800000</v>
      </c>
      <c r="G10" s="11" t="n">
        <f aca="false">E10-F10</f>
        <v>15680000</v>
      </c>
    </row>
    <row r="11" customFormat="false" ht="15" hidden="false" customHeight="false" outlineLevel="0" collapsed="false">
      <c r="A11" s="12" t="s">
        <v>16</v>
      </c>
      <c r="B11" s="13"/>
      <c r="C11" s="12" t="n">
        <f aca="false">SUM(C8:C10)</f>
        <v>1000000</v>
      </c>
      <c r="D11" s="14" t="n">
        <f aca="false">SUM(D8:D10)</f>
        <v>1</v>
      </c>
      <c r="E11" s="15" t="n">
        <f aca="false">SUM(E8:E10)</f>
        <v>41200000</v>
      </c>
      <c r="F11" s="15" t="n">
        <f aca="false">SUM(F8:F10)</f>
        <v>2000000</v>
      </c>
      <c r="G11" s="15" t="n">
        <f aca="false">SUM(G8:G10)</f>
        <v>39200000</v>
      </c>
    </row>
    <row r="13" customFormat="false" ht="15" hidden="false" customHeight="false" outlineLevel="0" collapsed="false">
      <c r="A13" s="5" t="s">
        <v>17</v>
      </c>
      <c r="C13" s="4" t="n">
        <v>2000000</v>
      </c>
    </row>
    <row r="15" customFormat="false" ht="15" hidden="false" customHeight="false" outlineLevel="0" collapsed="false">
      <c r="A15" s="3" t="s">
        <v>18</v>
      </c>
    </row>
    <row r="16" customFormat="false" ht="15" hidden="false" customHeight="false" outlineLevel="0" collapsed="false">
      <c r="A16" s="7" t="s">
        <v>5</v>
      </c>
      <c r="B16" s="7" t="s">
        <v>19</v>
      </c>
      <c r="C16" s="7" t="s">
        <v>8</v>
      </c>
    </row>
    <row r="17" customFormat="false" ht="15" hidden="false" customHeight="false" outlineLevel="0" collapsed="false">
      <c r="A17" s="8" t="s">
        <v>20</v>
      </c>
      <c r="B17" s="8" t="n">
        <v>1000000</v>
      </c>
      <c r="C17" s="10" t="n">
        <f aca="false">B17/B18</f>
        <v>1</v>
      </c>
    </row>
    <row r="18" customFormat="false" ht="15" hidden="false" customHeight="false" outlineLevel="0" collapsed="false">
      <c r="A18" s="12" t="s">
        <v>16</v>
      </c>
      <c r="B18" s="12" t="n">
        <f aca="false">B17</f>
        <v>1000000</v>
      </c>
      <c r="C18" s="14" t="n">
        <v>1</v>
      </c>
    </row>
    <row r="20" customFormat="false" ht="15" hidden="false" customHeight="false" outlineLevel="0" collapsed="false">
      <c r="A20" s="16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2026-06-29T13:09:11Z</dcterms:created>
  <dc:creator>openpyxl</dc:creator>
  <dc:description/>
  <dc:language>en-US</dc:language>
  <cp:lastModifiedBy/>
  <dcterms:modified xsi:type="dcterms:W3CDTF">2026-06-29T13:09:11Z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