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<sst xmlns="http://schemas.openxmlformats.org/spreadsheetml/2006/main" count="37" uniqueCount="30">
  <si>
    <t xml:space="preserve">Project Ironvale — Completion Funds Flow Statement</t>
  </si>
  <si>
    <t xml:space="preserve">Completion date: 12 December 2025  ·  all amounts in GBP</t>
  </si>
  <si>
    <t xml:space="preserve">#</t>
  </si>
  <si>
    <t xml:space="preserve">Payer</t>
  </si>
  <si>
    <t xml:space="preserve">Payee</t>
  </si>
  <si>
    <t xml:space="preserve">Purpose</t>
  </si>
  <si>
    <t xml:space="preserve">Amount (£)</t>
  </si>
  <si>
    <t xml:space="preserve">Crestview Ironvale Bidco Ltd</t>
  </si>
  <si>
    <t xml:space="preserve">Hargrove &amp; Associates LLP (Sellers' client a/c)</t>
  </si>
  <si>
    <t xml:space="preserve">Cash consideration for the Shares (net of escrow)</t>
  </si>
  <si>
    <t xml:space="preserve">Escrow Agent (joint escrow a/c)</t>
  </si>
  <si>
    <t xml:space="preserve">Escrow Amount — warranty &amp; tax retention</t>
  </si>
  <si>
    <t xml:space="preserve">Northbank plc</t>
  </si>
  <si>
    <t xml:space="preserve">Repayment of Company's bank debt at Completion</t>
  </si>
  <si>
    <t xml:space="preserve">HM Revenue &amp; Customs</t>
  </si>
  <si>
    <t xml:space="preserve">Stamp duty on share transfer (0.5%)</t>
  </si>
  <si>
    <t xml:space="preserve">Whitfield Carter LLP</t>
  </si>
  <si>
    <t xml:space="preserve">Buyer legal fees and disbursements (est.)</t>
  </si>
  <si>
    <t xml:space="preserve">Aldgate Specialty (Underwriting) Ltd</t>
  </si>
  <si>
    <t xml:space="preserve">W&amp;I insurance premium (incl. IPT)</t>
  </si>
  <si>
    <t xml:space="preserve">Marlow Tax &amp; Advisory Ltd</t>
  </si>
  <si>
    <t xml:space="preserve">Financial &amp; tax due diligence fees</t>
  </si>
  <si>
    <t xml:space="preserve">Total funds required from Buyer</t>
  </si>
  <si>
    <t xml:space="preserve">Sources of funds</t>
  </si>
  <si>
    <t xml:space="preserve">Source</t>
  </si>
  <si>
    <t xml:space="preserve">Crestview equity (managed funds)</t>
  </si>
  <si>
    <t xml:space="preserve">Northbank plc acquisition facility</t>
  </si>
  <si>
    <t xml:space="preserve">Total sources</t>
  </si>
  <si>
    <t xml:space="preserve">Check (sources less uses)</t>
  </si>
  <si>
    <t xml:space="preserve">Source: SPA clause 3 &amp; 6; Heads of Terms. Blue = hardcoded input.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</si>
</sst>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&quot;(£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40"/>
    <col collapsed="false" customWidth="true" hidden="false" outlineLevel="0" max="4" min="4" style="0" width="42"/>
    <col collapsed="false" customWidth="true" hidden="false" outlineLevel="0" max="6" min="5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1</v>
      </c>
      <c r="B5" s="4" t="s">
        <v>7</v>
      </c>
      <c r="C5" s="4" t="s">
        <v>8</v>
      </c>
      <c r="D5" s="4" t="s">
        <v>9</v>
      </c>
      <c r="E5" s="5" t="n">
        <v>39200000</v>
      </c>
    </row>
    <row r="6" customFormat="false" ht="15" hidden="false" customHeight="false" outlineLevel="0" collapsed="false">
      <c r="A6" s="4" t="n">
        <v>2</v>
      </c>
      <c r="B6" s="4" t="s">
        <v>7</v>
      </c>
      <c r="C6" s="4" t="s">
        <v>10</v>
      </c>
      <c r="D6" s="4" t="s">
        <v>11</v>
      </c>
      <c r="E6" s="5" t="n">
        <v>2000000</v>
      </c>
    </row>
    <row r="7" customFormat="false" ht="15" hidden="false" customHeight="false" outlineLevel="0" collapsed="false">
      <c r="A7" s="4" t="n">
        <v>3</v>
      </c>
      <c r="B7" s="4" t="s">
        <v>7</v>
      </c>
      <c r="C7" s="4" t="s">
        <v>12</v>
      </c>
      <c r="D7" s="4" t="s">
        <v>13</v>
      </c>
      <c r="E7" s="5" t="n">
        <v>1300000</v>
      </c>
    </row>
    <row r="8" customFormat="false" ht="15" hidden="false" customHeight="false" outlineLevel="0" collapsed="false">
      <c r="A8" s="4" t="n">
        <v>4</v>
      </c>
      <c r="B8" s="4" t="s">
        <v>7</v>
      </c>
      <c r="C8" s="4" t="s">
        <v>14</v>
      </c>
      <c r="D8" s="4" t="s">
        <v>15</v>
      </c>
      <c r="E8" s="6" t="n">
        <f aca="false">ROUND(0.005*E5,0)</f>
        <v>196000</v>
      </c>
    </row>
    <row r="9" customFormat="false" ht="15" hidden="false" customHeight="false" outlineLevel="0" collapsed="false">
      <c r="A9" s="4" t="n">
        <v>5</v>
      </c>
      <c r="B9" s="4" t="s">
        <v>7</v>
      </c>
      <c r="C9" s="4" t="s">
        <v>16</v>
      </c>
      <c r="D9" s="4" t="s">
        <v>17</v>
      </c>
      <c r="E9" s="5" t="n">
        <v>214000</v>
      </c>
    </row>
    <row r="10" customFormat="false" ht="15" hidden="false" customHeight="false" outlineLevel="0" collapsed="false">
      <c r="A10" s="4" t="n">
        <v>6</v>
      </c>
      <c r="B10" s="4" t="s">
        <v>7</v>
      </c>
      <c r="C10" s="4" t="s">
        <v>18</v>
      </c>
      <c r="D10" s="4" t="s">
        <v>19</v>
      </c>
      <c r="E10" s="5" t="n">
        <v>312000</v>
      </c>
    </row>
    <row r="11" customFormat="false" ht="15" hidden="false" customHeight="false" outlineLevel="0" collapsed="false">
      <c r="A11" s="4" t="n">
        <v>7</v>
      </c>
      <c r="B11" s="4" t="s">
        <v>7</v>
      </c>
      <c r="C11" s="4" t="s">
        <v>20</v>
      </c>
      <c r="D11" s="4" t="s">
        <v>21</v>
      </c>
      <c r="E11" s="5" t="n">
        <v>96500</v>
      </c>
    </row>
    <row r="12" customFormat="false" ht="15" hidden="false" customHeight="false" outlineLevel="0" collapsed="false">
      <c r="A12" s="7"/>
      <c r="B12" s="7"/>
      <c r="C12" s="7"/>
      <c r="D12" s="8" t="s">
        <v>22</v>
      </c>
      <c r="E12" s="9" t="n">
        <f aca="false">SUM(E5:E11)</f>
        <v>43318500</v>
      </c>
    </row>
    <row r="14" customFormat="false" ht="15" hidden="false" customHeight="false" outlineLevel="0" collapsed="false">
      <c r="A14" s="10" t="s">
        <v>23</v>
      </c>
    </row>
    <row r="15" customFormat="false" ht="15" hidden="false" customHeight="false" outlineLevel="0" collapsed="false">
      <c r="A15" s="3" t="s">
        <v>24</v>
      </c>
      <c r="B15" s="3" t="s">
        <v>6</v>
      </c>
    </row>
    <row r="16" customFormat="false" ht="15" hidden="false" customHeight="false" outlineLevel="0" collapsed="false">
      <c r="A16" s="4" t="s">
        <v>25</v>
      </c>
      <c r="B16" s="11" t="n">
        <f aca="false">E12-B17</f>
        <v>15318500</v>
      </c>
    </row>
    <row r="17" customFormat="false" ht="15" hidden="false" customHeight="false" outlineLevel="0" collapsed="false">
      <c r="A17" s="4" t="s">
        <v>26</v>
      </c>
      <c r="B17" s="5" t="n">
        <v>28000000</v>
      </c>
    </row>
    <row r="18" customFormat="false" ht="15" hidden="false" customHeight="false" outlineLevel="0" collapsed="false">
      <c r="A18" s="8" t="s">
        <v>27</v>
      </c>
      <c r="B18" s="9" t="n">
        <f aca="false">SUM(B16:B17)</f>
        <v>43318500</v>
      </c>
    </row>
    <row r="19" customFormat="false" ht="15" hidden="false" customHeight="false" outlineLevel="0" collapsed="false">
      <c r="A19" s="8" t="s">
        <v>28</v>
      </c>
      <c r="B19" s="9" t="n">
        <f aca="false">B18-E12</f>
        <v>0</v>
      </c>
    </row>
    <row r="21" customFormat="false" ht="15" hidden="false" customHeight="false" outlineLevel="0" collapsed="false">
      <c r="A21" s="1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2026-06-29T13:09:11Z</dcterms:created>
  <dc:creator>openpyxl</dc:creator>
  <dc:description/>
  <dc:language>en-US</dc:language>
  <cp:lastModifiedBy/>
  <dcterms:modified xsi:type="dcterms:W3CDTF">2026-06-29T13:09:11Z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