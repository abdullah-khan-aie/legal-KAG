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(£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</font>
    <font>
      <name val="Arial"/>
      <color rgb="00808080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b val="1"/>
      <color rgb="001F3864"/>
    </font>
    <font>
      <name val="Arial"/>
      <i val="1"/>
      <color rgb="00808080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6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7" fillId="3" borderId="1" pivotButton="0" quotePrefix="0" xfId="0"/>
    <xf numFmtId="3" fontId="7" fillId="3" borderId="1" pivotButton="0" quotePrefix="0" xfId="0"/>
    <xf numFmtId="164" fontId="7" fillId="3" borderId="1" pivotButton="0" quotePrefix="0" xfId="0"/>
    <xf numFmtId="165" fontId="7" fillId="3" borderId="1" pivotButton="0" quotePrefix="0" xfId="0"/>
    <xf numFmtId="0" fontId="8" fillId="0" borderId="0" pivotButton="0" quotePrefix="0" xfId="0"/>
    <xf numFmtId="0" fontId="5" fillId="0" borderId="0" pivotButton="0" quotePrefix="0" xfId="0"/>
    <xf numFmtId="165" fontId="6" fillId="0" borderId="0" pivotButton="0" quotePrefix="0" xfId="0"/>
    <xf numFmtId="165" fontId="7" fillId="0" borderId="0" pivotButton="0" quotePrefix="0" xfId="0"/>
    <xf numFmtId="164" fontId="6" fillId="0" borderId="0" pivotButton="0" quotePrefix="0" xfId="0"/>
    <xf numFmtId="165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1" customWidth="1" min="4" max="4"/>
    <col width="18" customWidth="1" min="5" max="5"/>
    <col width="16" customWidth="1" min="6" max="6"/>
    <col width="20" customWidth="1" min="7" max="7"/>
  </cols>
  <sheetData>
    <row r="1">
      <c r="A1" s="1" t="inlineStr">
        <is>
          <t>Project Tempest — Aldermont Controls Limited</t>
        </is>
      </c>
    </row>
    <row r="2">
      <c r="A2" s="2" t="inlineStr">
        <is>
          <t>Capitalisation table and apportionment of consideration (pre-completion)</t>
        </is>
      </c>
    </row>
    <row r="3">
      <c r="A3" s="3" t="inlineStr">
        <is>
          <t>All figures in GBP. Issued share capital: 1,000,000 ordinary shares of £1 each.</t>
        </is>
      </c>
    </row>
    <row r="5">
      <c r="A5" s="4" t="inlineStr">
        <is>
          <t>Shareholder</t>
        </is>
      </c>
      <c r="B5" s="4" t="inlineStr">
        <is>
          <t>Type</t>
        </is>
      </c>
      <c r="C5" s="4" t="inlineStr">
        <is>
          <t>Ordinary shares</t>
        </is>
      </c>
      <c r="D5" s="4" t="inlineStr">
        <is>
          <t>% holding</t>
        </is>
      </c>
      <c r="E5" s="4" t="inlineStr">
        <is>
          <t>Gross consideration</t>
        </is>
      </c>
      <c r="F5" s="4" t="inlineStr">
        <is>
          <t>Escrow (10%)</t>
        </is>
      </c>
      <c r="G5" s="4" t="inlineStr">
        <is>
          <t>Net cash at completion</t>
        </is>
      </c>
    </row>
    <row r="6">
      <c r="A6" s="5" t="inlineStr">
        <is>
          <t>Geoffrey Aldermont</t>
        </is>
      </c>
      <c r="B6" s="5" t="inlineStr">
        <is>
          <t>Founder / Warrantor</t>
        </is>
      </c>
      <c r="C6" s="6" t="n">
        <v>620000</v>
      </c>
      <c r="D6" s="7">
        <f>C6/$C$9</f>
        <v/>
      </c>
      <c r="E6" s="8">
        <f>D6*$C$15</f>
        <v/>
      </c>
      <c r="F6" s="8">
        <f>E6*$C$16</f>
        <v/>
      </c>
      <c r="G6" s="8">
        <f>E6-F6</f>
        <v/>
      </c>
    </row>
    <row r="7">
      <c r="A7" s="5" t="inlineStr">
        <is>
          <t>Aldermont Family Trust (2009)</t>
        </is>
      </c>
      <c r="B7" s="5" t="inlineStr">
        <is>
          <t>Institutional Seller</t>
        </is>
      </c>
      <c r="C7" s="6" t="n">
        <v>180000</v>
      </c>
      <c r="D7" s="7">
        <f>C7/$C$9</f>
        <v/>
      </c>
      <c r="E7" s="8">
        <f>D7*$C$15</f>
        <v/>
      </c>
      <c r="F7" s="8">
        <f>E7*$C$16</f>
        <v/>
      </c>
      <c r="G7" s="8">
        <f>E7-F7</f>
        <v/>
      </c>
    </row>
    <row r="8">
      <c r="A8" s="5" t="inlineStr">
        <is>
          <t>Hartington Equity Partners LLP</t>
        </is>
      </c>
      <c r="B8" s="5" t="inlineStr">
        <is>
          <t>Institutional Seller</t>
        </is>
      </c>
      <c r="C8" s="6" t="n">
        <v>200000</v>
      </c>
      <c r="D8" s="7">
        <f>C8/$C$9</f>
        <v/>
      </c>
      <c r="E8" s="8">
        <f>D8*$C$15</f>
        <v/>
      </c>
      <c r="F8" s="8">
        <f>E8*$C$16</f>
        <v/>
      </c>
      <c r="G8" s="8">
        <f>E8-F8</f>
        <v/>
      </c>
    </row>
    <row r="9">
      <c r="A9" s="9" t="inlineStr">
        <is>
          <t>Total</t>
        </is>
      </c>
      <c r="B9" s="9" t="n"/>
      <c r="C9" s="10">
        <f>SUM(C6:C8)</f>
        <v/>
      </c>
      <c r="D9" s="11">
        <f>SUM(D6:D8)</f>
        <v/>
      </c>
      <c r="E9" s="12">
        <f>SUM(E6:E8)</f>
        <v/>
      </c>
      <c r="F9" s="12">
        <f>SUM(F6:F8)</f>
        <v/>
      </c>
      <c r="G9" s="12">
        <f>SUM(G6:G8)</f>
        <v/>
      </c>
    </row>
    <row r="12">
      <c r="A12" s="13" t="inlineStr">
        <is>
          <t>Consideration build-up</t>
        </is>
      </c>
    </row>
    <row r="13">
      <c r="A13" s="14" t="inlineStr">
        <is>
          <t>Enterprise value</t>
        </is>
      </c>
      <c r="C13" s="15" t="n">
        <v>62000000</v>
      </c>
    </row>
    <row r="14">
      <c r="A14" s="14" t="inlineStr">
        <is>
          <t>Less: estimated net debt at completion</t>
        </is>
      </c>
      <c r="C14" s="15" t="n">
        <v>-4300000</v>
      </c>
    </row>
    <row r="15">
      <c r="A15" s="14" t="inlineStr">
        <is>
          <t>Equity consideration (estimated)</t>
        </is>
      </c>
      <c r="C15" s="16">
        <f>C13+C14</f>
        <v/>
      </c>
    </row>
    <row r="16">
      <c r="A16" s="14" t="inlineStr">
        <is>
          <t>Escrow retention (%)</t>
        </is>
      </c>
      <c r="C16" s="17" t="n">
        <v>0.1</v>
      </c>
    </row>
    <row r="17">
      <c r="A17" s="14" t="inlineStr">
        <is>
          <t>Escrow amount</t>
        </is>
      </c>
      <c r="C17" s="18">
        <f>C15*C16</f>
        <v/>
      </c>
    </row>
    <row r="18">
      <c r="A18" s="14" t="inlineStr">
        <is>
          <t>Net cash payable at completion</t>
        </is>
      </c>
      <c r="C18" s="16">
        <f>C15-C17</f>
        <v/>
      </c>
    </row>
    <row r="19">
      <c r="A19" s="14" t="inlineStr">
        <is>
          <t>Target working capital</t>
        </is>
      </c>
      <c r="C19" s="15" t="n">
        <v>2750000</v>
      </c>
    </row>
    <row r="21">
      <c r="A21" s="19" t="inlineStr">
        <is>
          <t>Note: cap table apportionment ties to the SPA consideration. Escrow (10%) is held for 18 months as security for warranty and indemnity claims (see SPA clause 3 and Schedule 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2026-06-26T15:53:34Z</dcterms:created>
  <dcterms:modified xmlns:dcterms="http://purl.org/dc/terms/" xmlns:xsi="http://www.w3.org/2001/XMLSchema-instance" xsi:type="dcterms:W3CDTF">2026-06-26T15:53:34Z</dcterms:modified>
</cp:coreProperties>
</file>