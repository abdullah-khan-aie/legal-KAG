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<sst xmlns="http://schemas.openxmlformats.org/spreadsheetml/2006/main" count="23" uniqueCount="22">
  <si>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 xml:space="preserve">Project Tempest — Completion Funds Flow Statement</t>
  </si>
  <si>
    <t xml:space="preserve">Acquisition of Aldermont Controls Limited by Marrick Bidco Limited — Completion 24 April 2026</t>
  </si>
  <si>
    <t xml:space="preserve">All amounts in GBP. Source of funds must equal application of funds.</t>
  </si>
  <si>
    <t xml:space="preserve">SOURCES OF FUNDS</t>
  </si>
  <si>
    <t xml:space="preserve">Amount</t>
  </si>
  <si>
    <t xml:space="preserve">Equity subscription — Crestview Capital (funds)</t>
  </si>
  <si>
    <t xml:space="preserve">Senior debt facility — Sterling Commercial Bank plc</t>
  </si>
  <si>
    <t xml:space="preserve">Cash on Marrick Bidco balance sheet</t>
  </si>
  <si>
    <t xml:space="preserve">Total sources</t>
  </si>
  <si>
    <t xml:space="preserve">APPLICATION OF FUNDS</t>
  </si>
  <si>
    <t xml:space="preserve">Net cash consideration to Sellers (via Harland Vesey LLP client account)</t>
  </si>
  <si>
    <t xml:space="preserve">Escrow deposit (10%) to joint escrow account</t>
  </si>
  <si>
    <t xml:space="preserve">Repayment of Company net debt at completion</t>
  </si>
  <si>
    <t xml:space="preserve">Sellers' adviser fees retained from proceeds</t>
  </si>
  <si>
    <t xml:space="preserve">Buyer's legal fees — Whitfield Carter LLP</t>
  </si>
  <si>
    <t xml:space="preserve">Buyer's financial/tax DD — Marlow Tax &amp; Advisory Ltd</t>
  </si>
  <si>
    <t xml:space="preserve">Lender arrangement fee — Sterling Commercial Bank plc</t>
  </si>
  <si>
    <t xml:space="preserve">Stamp duty (0.5% of consideration)</t>
  </si>
  <si>
    <t xml:space="preserve">SPV set-up and other completion costs</t>
  </si>
  <si>
    <t xml:space="preserve">Total applications</t>
  </si>
  <si>
    <t xml:space="preserve">Check — sources less applications (must be nil)</t>
  </si>
  <si>
    <t xml:space="preserve">Note: the net cash consideration (£51,930,000) and the 10% escrow (£5,770,000) together equal the estimated equity consideration of £57,700,000 (EV £62,000,000 less net debt £4,300,000), consistent with the SPA and the cap table. Stamp duty is computed at 0.5% of the consideration.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</si>
</sst>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n">
        <f aca="false">B21-B7-B8</f>
        <v>48734650</v>
      </c>
    </row>
    <row r="7" customFormat="false" ht="15" hidden="false" customHeight="false" outlineLevel="0" collapsed="false">
      <c r="A7" s="5" t="s">
        <v>6</v>
      </c>
      <c r="B7" s="6" t="n">
        <v>14000000</v>
      </c>
    </row>
    <row r="8" customFormat="false" ht="15" hidden="false" customHeight="false" outlineLevel="0" collapsed="false">
      <c r="A8" s="5" t="s">
        <v>7</v>
      </c>
      <c r="B8" s="6" t="n">
        <v>700000</v>
      </c>
    </row>
    <row r="9" customFormat="false" ht="15" hidden="false" customHeight="false" outlineLevel="0" collapsed="false">
      <c r="A9" s="7" t="s">
        <v>8</v>
      </c>
      <c r="B9" s="8" t="n">
        <f aca="false">SUM(B6:B8)</f>
        <v>63434650</v>
      </c>
    </row>
    <row r="11" customFormat="false" ht="15" hidden="false" customHeight="false" outlineLevel="0" collapsed="false">
      <c r="A11" s="4" t="s">
        <v>9</v>
      </c>
      <c r="B11" s="4" t="s">
        <v>4</v>
      </c>
    </row>
    <row r="12" customFormat="false" ht="15" hidden="false" customHeight="false" outlineLevel="0" collapsed="false">
      <c r="A12" s="5" t="s">
        <v>10</v>
      </c>
      <c r="B12" s="6" t="n">
        <v>51930000</v>
      </c>
    </row>
    <row r="13" customFormat="false" ht="15" hidden="false" customHeight="false" outlineLevel="0" collapsed="false">
      <c r="A13" s="5" t="s">
        <v>11</v>
      </c>
      <c r="B13" s="6" t="n">
        <v>5770000</v>
      </c>
    </row>
    <row r="14" customFormat="false" ht="15" hidden="false" customHeight="false" outlineLevel="0" collapsed="false">
      <c r="A14" s="5" t="s">
        <v>12</v>
      </c>
      <c r="B14" s="6" t="n">
        <v>4300000</v>
      </c>
    </row>
    <row r="15" customFormat="false" ht="15" hidden="false" customHeight="false" outlineLevel="0" collapsed="false">
      <c r="A15" s="5" t="s">
        <v>13</v>
      </c>
      <c r="B15" s="6" t="n">
        <v>420000</v>
      </c>
    </row>
    <row r="16" customFormat="false" ht="15" hidden="false" customHeight="false" outlineLevel="0" collapsed="false">
      <c r="A16" s="5" t="s">
        <v>14</v>
      </c>
      <c r="B16" s="6" t="n">
        <v>285000</v>
      </c>
    </row>
    <row r="17" customFormat="false" ht="15" hidden="false" customHeight="false" outlineLevel="0" collapsed="false">
      <c r="A17" s="5" t="s">
        <v>15</v>
      </c>
      <c r="B17" s="6" t="n">
        <v>165000</v>
      </c>
    </row>
    <row r="18" customFormat="false" ht="15" hidden="false" customHeight="false" outlineLevel="0" collapsed="false">
      <c r="A18" s="5" t="s">
        <v>16</v>
      </c>
      <c r="B18" s="6" t="n">
        <v>210000</v>
      </c>
    </row>
    <row r="19" customFormat="false" ht="15" hidden="false" customHeight="false" outlineLevel="0" collapsed="false">
      <c r="A19" s="5" t="s">
        <v>17</v>
      </c>
      <c r="B19" s="9" t="n">
        <f aca="false">ROUND(B12*0.005,0)</f>
        <v>259650</v>
      </c>
    </row>
    <row r="20" customFormat="false" ht="15" hidden="false" customHeight="false" outlineLevel="0" collapsed="false">
      <c r="A20" s="5" t="s">
        <v>18</v>
      </c>
      <c r="B20" s="6" t="n">
        <v>95000</v>
      </c>
    </row>
    <row r="21" customFormat="false" ht="15" hidden="false" customHeight="false" outlineLevel="0" collapsed="false">
      <c r="A21" s="7" t="s">
        <v>19</v>
      </c>
      <c r="B21" s="8" t="n">
        <f aca="false">SUM(B12:B20)</f>
        <v>63434650</v>
      </c>
    </row>
    <row r="23" customFormat="false" ht="15" hidden="false" customHeight="false" outlineLevel="0" collapsed="false">
      <c r="A23" s="10" t="s">
        <v>20</v>
      </c>
      <c r="B23" s="11" t="n">
        <f aca="false">B9-B21</f>
        <v>0</v>
      </c>
    </row>
    <row r="25" customFormat="false" ht="15" hidden="false" customHeight="false" outlineLevel="0" collapsed="false">
      <c r="A25" s="1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2026-06-26T15:53:34Z</dcterms:created>
  <dc:creator>openpyxl</dc:creator>
  <dc:description/>
  <dc:language>en-US</dc:language>
  <cp:lastModifiedBy/>
  <dcterms:modified xsi:type="dcterms:W3CDTF">2026-06-26T15:53:34Z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