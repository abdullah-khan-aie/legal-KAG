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<sst xmlns="http://schemas.openxmlformats.org/spreadsheetml/2006/main" count="52" uniqueCount="50">
  <si>
    <t xml:space="preserve">Project Cedar – Completion Funds Flow Statement</t>
  </si>
  <si>
    <t xml:space="preserve">Acquisition of Harrowgate Precision Castings Limited</t>
  </si>
  <si>
    <t xml:space="preserve">Completion date: 7 May 2026   |   All amounts in GBP (£)</t>
  </si>
  <si>
    <t xml:space="preserve">Key figures (inputs in blue)</t>
  </si>
  <si>
    <t xml:space="preserve">Enterprise value</t>
  </si>
  <si>
    <t xml:space="preserve">Estimated net debt at Completion</t>
  </si>
  <si>
    <t xml:space="preserve">Working-capital adjustment (below target)</t>
  </si>
  <si>
    <t xml:space="preserve">Equity value (headline consideration)</t>
  </si>
  <si>
    <t xml:space="preserve">Deferred consideration</t>
  </si>
  <si>
    <t xml:space="preserve">Retention amount</t>
  </si>
  <si>
    <t xml:space="preserve">Cash payable at Completion (equity value less deferred)</t>
  </si>
  <si>
    <t xml:space="preserve">WC repayment of bank debt (Northbank plc)</t>
  </si>
  <si>
    <t xml:space="preserve">WC fees (Whitfield Carter)</t>
  </si>
  <si>
    <t xml:space="preserve">W&amp;I premium &amp; underwriting fee</t>
  </si>
  <si>
    <t xml:space="preserve">Other transaction costs (broker, accountants)</t>
  </si>
  <si>
    <t xml:space="preserve">SOURCES OF FUNDS</t>
  </si>
  <si>
    <t xml:space="preserve">Source</t>
  </si>
  <si>
    <t xml:space="preserve">Provider</t>
  </si>
  <si>
    <t xml:space="preserve">Amount (£)</t>
  </si>
  <si>
    <t xml:space="preserve">Equity subscription – Crestview funds</t>
  </si>
  <si>
    <t xml:space="preserve">Crestview Capital</t>
  </si>
  <si>
    <t xml:space="preserve">Senior debt facility</t>
  </si>
  <si>
    <t xml:space="preserve">Northbank Acquisition Finance</t>
  </si>
  <si>
    <t xml:space="preserve">Buyer cash (transaction costs)</t>
  </si>
  <si>
    <t xml:space="preserve">Crestview Cedar Bidco</t>
  </si>
  <si>
    <t xml:space="preserve">Total sources</t>
  </si>
  <si>
    <t xml:space="preserve">APPLICATION OF FUNDS</t>
  </si>
  <si>
    <t xml:space="preserve">Payment</t>
  </si>
  <si>
    <t xml:space="preserve">Payee / account</t>
  </si>
  <si>
    <t xml:space="preserve">Cash consideration to Sellers (less retention)</t>
  </si>
  <si>
    <t xml:space="preserve">Castle &amp; Vane LLP client account</t>
  </si>
  <si>
    <t xml:space="preserve">Retention into joint Retention Account</t>
  </si>
  <si>
    <t xml:space="preserve">WC/C&amp;V joint account</t>
  </si>
  <si>
    <t xml:space="preserve">Repayment of existing bank debt</t>
  </si>
  <si>
    <t xml:space="preserve">Northbank plc</t>
  </si>
  <si>
    <t xml:space="preserve">Whitfield Carter LLP fees</t>
  </si>
  <si>
    <t xml:space="preserve">WC client account</t>
  </si>
  <si>
    <t xml:space="preserve">Aldgate Specialty (Underwriting) Ltd</t>
  </si>
  <si>
    <t xml:space="preserve">Other transaction costs</t>
  </si>
  <si>
    <t xml:space="preserve">Various</t>
  </si>
  <si>
    <t xml:space="preserve">Total uses</t>
  </si>
  <si>
    <t xml:space="preserve">Check (sources less uses, should be £0)</t>
  </si>
  <si>
    <t xml:space="preserve">SELLER APPORTIONMENT OF CASH (less retention)</t>
  </si>
  <si>
    <t xml:space="preserve">Seller</t>
  </si>
  <si>
    <t xml:space="preserve">%</t>
  </si>
  <si>
    <t xml:space="preserve">Cash at Completion (£)</t>
  </si>
  <si>
    <t xml:space="preserve">Geoffrey Harrowgate</t>
  </si>
  <si>
    <t xml:space="preserve">Diane Harrowgate</t>
  </si>
  <si>
    <t xml:space="preserve">Penfold Growth Capital LLP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</si>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</sst>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\£* #,##0_-;[RED]&quot;-£&quot;* #,##0_-;_-\£* \-_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sz val="9"/>
      <color rgb="FF808080"/>
      <name val="Cambria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0" t="s">
        <v>4</v>
      </c>
      <c r="B6" s="5" t="n">
        <v>41500000</v>
      </c>
    </row>
    <row r="7" customFormat="false" ht="15" hidden="false" customHeight="false" outlineLevel="0" collapsed="false">
      <c r="A7" s="0" t="s">
        <v>5</v>
      </c>
      <c r="B7" s="5" t="n">
        <v>2350000</v>
      </c>
    </row>
    <row r="8" customFormat="false" ht="15" hidden="false" customHeight="false" outlineLevel="0" collapsed="false">
      <c r="A8" s="0" t="s">
        <v>6</v>
      </c>
      <c r="B8" s="5" t="n">
        <v>-950000</v>
      </c>
    </row>
    <row r="9" customFormat="false" ht="15" hidden="false" customHeight="false" outlineLevel="0" collapsed="false">
      <c r="A9" s="4" t="s">
        <v>7</v>
      </c>
      <c r="B9" s="6" t="n">
        <f aca="false">B6-B7+B8</f>
        <v>38200000</v>
      </c>
    </row>
    <row r="10" customFormat="false" ht="15" hidden="false" customHeight="false" outlineLevel="0" collapsed="false">
      <c r="A10" s="0" t="s">
        <v>8</v>
      </c>
      <c r="B10" s="5" t="n">
        <v>3000000</v>
      </c>
    </row>
    <row r="11" customFormat="false" ht="15" hidden="false" customHeight="false" outlineLevel="0" collapsed="false">
      <c r="A11" s="0" t="s">
        <v>9</v>
      </c>
      <c r="B11" s="5" t="n">
        <v>1200000</v>
      </c>
    </row>
    <row r="12" customFormat="false" ht="15" hidden="false" customHeight="false" outlineLevel="0" collapsed="false">
      <c r="A12" s="4" t="s">
        <v>10</v>
      </c>
      <c r="B12" s="6" t="n">
        <f aca="false">B9-B10</f>
        <v>35200000</v>
      </c>
    </row>
    <row r="14" customFormat="false" ht="15" hidden="false" customHeight="false" outlineLevel="0" collapsed="false">
      <c r="A14" s="0" t="s">
        <v>11</v>
      </c>
      <c r="B14" s="5" t="n">
        <v>2350000</v>
      </c>
    </row>
    <row r="15" customFormat="false" ht="15" hidden="false" customHeight="false" outlineLevel="0" collapsed="false">
      <c r="A15" s="0" t="s">
        <v>12</v>
      </c>
      <c r="B15" s="5" t="n">
        <v>205000</v>
      </c>
    </row>
    <row r="16" customFormat="false" ht="15" hidden="false" customHeight="false" outlineLevel="0" collapsed="false">
      <c r="A16" s="0" t="s">
        <v>13</v>
      </c>
      <c r="B16" s="5" t="n">
        <v>286500</v>
      </c>
    </row>
    <row r="17" customFormat="false" ht="15" hidden="false" customHeight="false" outlineLevel="0" collapsed="false">
      <c r="A17" s="0" t="s">
        <v>14</v>
      </c>
      <c r="B17" s="5" t="n">
        <v>164000</v>
      </c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7" t="s">
        <v>16</v>
      </c>
      <c r="B21" s="7" t="s">
        <v>17</v>
      </c>
      <c r="C21" s="7" t="s">
        <v>18</v>
      </c>
    </row>
    <row r="22" customFormat="false" ht="15" hidden="false" customHeight="false" outlineLevel="0" collapsed="false">
      <c r="A22" s="0" t="s">
        <v>19</v>
      </c>
      <c r="B22" s="0" t="s">
        <v>20</v>
      </c>
      <c r="C22" s="8" t="n">
        <f aca="false">B12*0.55</f>
        <v>19360000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8" t="n">
        <f aca="false">B12*0.45+B14</f>
        <v>18190000</v>
      </c>
    </row>
    <row r="24" customFormat="false" ht="15" hidden="false" customHeight="false" outlineLevel="0" collapsed="false">
      <c r="A24" s="0" t="s">
        <v>23</v>
      </c>
      <c r="B24" s="0" t="s">
        <v>24</v>
      </c>
      <c r="C24" s="8" t="n">
        <f aca="false">B15+B16+B17</f>
        <v>655500</v>
      </c>
    </row>
    <row r="25" customFormat="false" ht="15" hidden="false" customHeight="false" outlineLevel="0" collapsed="false">
      <c r="A25" s="4" t="s">
        <v>25</v>
      </c>
      <c r="C25" s="6" t="n">
        <f aca="false">SUM(C22:C24)</f>
        <v>38205500</v>
      </c>
    </row>
    <row r="27" customFormat="false" ht="15" hidden="false" customHeight="false" outlineLevel="0" collapsed="false">
      <c r="A27" s="4" t="s">
        <v>26</v>
      </c>
    </row>
    <row r="28" customFormat="false" ht="15" hidden="false" customHeight="false" outlineLevel="0" collapsed="false">
      <c r="A28" s="7" t="s">
        <v>27</v>
      </c>
      <c r="B28" s="7" t="s">
        <v>28</v>
      </c>
      <c r="C28" s="7" t="s">
        <v>18</v>
      </c>
    </row>
    <row r="29" customFormat="false" ht="15" hidden="false" customHeight="false" outlineLevel="0" collapsed="false">
      <c r="A29" s="0" t="s">
        <v>29</v>
      </c>
      <c r="B29" s="0" t="s">
        <v>30</v>
      </c>
      <c r="C29" s="8" t="n">
        <f aca="false">B12-B11</f>
        <v>34000000</v>
      </c>
    </row>
    <row r="30" customFormat="false" ht="15" hidden="false" customHeight="false" outlineLevel="0" collapsed="false">
      <c r="A30" s="0" t="s">
        <v>31</v>
      </c>
      <c r="B30" s="0" t="s">
        <v>32</v>
      </c>
      <c r="C30" s="8" t="n">
        <f aca="false">B11</f>
        <v>1200000</v>
      </c>
    </row>
    <row r="31" customFormat="false" ht="15" hidden="false" customHeight="false" outlineLevel="0" collapsed="false">
      <c r="A31" s="0" t="s">
        <v>33</v>
      </c>
      <c r="B31" s="0" t="s">
        <v>34</v>
      </c>
      <c r="C31" s="8" t="n">
        <f aca="false">B14</f>
        <v>2350000</v>
      </c>
    </row>
    <row r="32" customFormat="false" ht="15" hidden="false" customHeight="false" outlineLevel="0" collapsed="false">
      <c r="A32" s="0" t="s">
        <v>35</v>
      </c>
      <c r="B32" s="0" t="s">
        <v>36</v>
      </c>
      <c r="C32" s="8" t="n">
        <f aca="false">B15</f>
        <v>205000</v>
      </c>
    </row>
    <row r="33" customFormat="false" ht="15" hidden="false" customHeight="false" outlineLevel="0" collapsed="false">
      <c r="A33" s="0" t="s">
        <v>13</v>
      </c>
      <c r="B33" s="0" t="s">
        <v>37</v>
      </c>
      <c r="C33" s="8" t="n">
        <f aca="false">B16</f>
        <v>286500</v>
      </c>
    </row>
    <row r="34" customFormat="false" ht="15" hidden="false" customHeight="false" outlineLevel="0" collapsed="false">
      <c r="A34" s="0" t="s">
        <v>38</v>
      </c>
      <c r="B34" s="0" t="s">
        <v>39</v>
      </c>
      <c r="C34" s="8" t="n">
        <f aca="false">B17</f>
        <v>164000</v>
      </c>
    </row>
    <row r="35" customFormat="false" ht="15" hidden="false" customHeight="false" outlineLevel="0" collapsed="false">
      <c r="A35" s="4" t="s">
        <v>40</v>
      </c>
      <c r="C35" s="6" t="n">
        <f aca="false">SUM(C29:C34)</f>
        <v>38205500</v>
      </c>
    </row>
    <row r="37" customFormat="false" ht="15" hidden="false" customHeight="false" outlineLevel="0" collapsed="false">
      <c r="A37" s="4" t="s">
        <v>41</v>
      </c>
      <c r="C37" s="6" t="n">
        <f aca="false">C25-C35</f>
        <v>0</v>
      </c>
    </row>
    <row r="40" customFormat="false" ht="15" hidden="false" customHeight="false" outlineLevel="0" collapsed="false">
      <c r="A40" s="4" t="s">
        <v>42</v>
      </c>
    </row>
    <row r="41" customFormat="false" ht="15" hidden="false" customHeight="false" outlineLevel="0" collapsed="false">
      <c r="A41" s="7" t="s">
        <v>43</v>
      </c>
      <c r="B41" s="7" t="s">
        <v>44</v>
      </c>
      <c r="C41" s="7" t="s">
        <v>45</v>
      </c>
    </row>
    <row r="42" customFormat="false" ht="15" hidden="false" customHeight="false" outlineLevel="0" collapsed="false">
      <c r="A42" s="0" t="s">
        <v>46</v>
      </c>
      <c r="B42" s="9" t="n">
        <v>0.62</v>
      </c>
      <c r="C42" s="8" t="n">
        <f aca="false">(B12-B11)*B42</f>
        <v>21080000</v>
      </c>
    </row>
    <row r="43" customFormat="false" ht="15" hidden="false" customHeight="false" outlineLevel="0" collapsed="false">
      <c r="A43" s="0" t="s">
        <v>47</v>
      </c>
      <c r="B43" s="9" t="n">
        <v>0.08</v>
      </c>
      <c r="C43" s="8" t="n">
        <f aca="false">(B12-B11)*B43</f>
        <v>2720000</v>
      </c>
    </row>
    <row r="44" customFormat="false" ht="15" hidden="false" customHeight="false" outlineLevel="0" collapsed="false">
      <c r="A44" s="0" t="s">
        <v>48</v>
      </c>
      <c r="B44" s="9" t="n">
        <v>0.3</v>
      </c>
      <c r="C44" s="8" t="n">
        <f aca="false">(B12-B11)*B44</f>
        <v>10200000</v>
      </c>
    </row>
    <row r="45" customFormat="false" ht="15" hidden="false" customHeight="false" outlineLevel="0" collapsed="false">
      <c r="A45" s="4" t="s">
        <v>49</v>
      </c>
      <c r="B45" s="10" t="n">
        <f aca="false">SUM(B42:B44)</f>
        <v>1</v>
      </c>
      <c r="C45" s="6" t="n">
        <f aca="false">SUM(C42:C44)</f>
        <v>34000000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2026-06-28T07:19:34Z</dcterms:created>
  <dc:creator>openpyxl</dc:creator>
  <dc:description/>
  <dc:language>en-US</dc:language>
  <cp:lastModifiedBy/>
  <dcterms:modified xsi:type="dcterms:W3CDTF">2026-06-28T07:19:34Z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