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Completion" sheetId="1" state="visible" r:id="rId3"/>
    <sheet name="Post-Comple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<sst xmlns="http://schemas.openxmlformats.org/spreadsheetml/2006/main" count="36" uniqueCount="31">
  <si>
    <t xml:space="preserve">Project Cedar – Capitalisation Table (Pre-Completion)</t>
  </si>
  <si>
    <t xml:space="preserve">Harrowgate Precision Castings Limited  |  £ and shares</t>
  </si>
  <si>
    <t xml:space="preserve">Shareholder</t>
  </si>
  <si>
    <t xml:space="preserve">Ordinary shares</t>
  </si>
  <si>
    <t xml:space="preserve">% holding</t>
  </si>
  <si>
    <t xml:space="preserve">Implied value (£)</t>
  </si>
  <si>
    <t xml:space="preserve">Notes</t>
  </si>
  <si>
    <t xml:space="preserve">Geoffrey Harrowgate</t>
  </si>
  <si>
    <t xml:space="preserve">Founder</t>
  </si>
  <si>
    <t xml:space="preserve">Diane Harrowgate</t>
  </si>
  <si>
    <t xml:space="preserve">Director</t>
  </si>
  <si>
    <t xml:space="preserve">Penfold Growth Capital LLP</t>
  </si>
  <si>
    <t xml:space="preserve">Investor (2018)</t>
  </si>
  <si>
    <t xml:space="preserve">Total</t>
  </si>
  <si>
    <t xml:space="preserve">Equity value per share (input)</t>
  </si>
  <si>
    <t xml:space="preserve">Total equity value</t>
  </si>
  <si>
    <t xml:space="preserve">Project Cedar – Capitalisation Table (Post-Completion)</t>
  </si>
  <si>
    <t xml:space="preserve">Harrowgate Precision Castings Limited – wholly owned by Bidco</t>
  </si>
  <si>
    <t xml:space="preserve">Crestview Cedar Bidco Limited</t>
  </si>
  <si>
    <t xml:space="preserve">100% acquired at Completion</t>
  </si>
  <si>
    <t xml:space="preserve">Bidco funding structure</t>
  </si>
  <si>
    <t xml:space="preserve">Instrument</t>
  </si>
  <si>
    <t xml:space="preserve">Holder</t>
  </si>
  <si>
    <t xml:space="preserve">Amount (£)</t>
  </si>
  <si>
    <t xml:space="preserve">Ordinary equity</t>
  </si>
  <si>
    <t xml:space="preserve">Crestview funds</t>
  </si>
  <si>
    <t xml:space="preserve">Investor loan notes</t>
  </si>
  <si>
    <t xml:space="preserve">Senior debt</t>
  </si>
  <si>
    <t xml:space="preserve">Northbank Acquisition Finance</t>
  </si>
  <si>
    <t xml:space="preserve">Total funding</t>
  </si>
  <si>
    <t xml:space="preserve">Total funding requirement (cash consideration + debt repayment + costs)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</si>
</sst>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_-\£* #,##0_-;[RED]&quot;-£&quot;* #,##0_-;_-\£* \-_-"/>
    <numFmt numFmtId="167" formatCode="\£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0" t="s">
        <v>7</v>
      </c>
      <c r="B5" s="0" t="n">
        <v>620000</v>
      </c>
      <c r="C5" s="4" t="n">
        <f aca="false">B5/$B$8</f>
        <v>0.62</v>
      </c>
      <c r="D5" s="5" t="n">
        <f aca="false">C5*$B$12</f>
        <v>23.684</v>
      </c>
      <c r="E5" s="0" t="s">
        <v>8</v>
      </c>
    </row>
    <row r="6" customFormat="false" ht="15" hidden="false" customHeight="false" outlineLevel="0" collapsed="false">
      <c r="A6" s="0" t="s">
        <v>9</v>
      </c>
      <c r="B6" s="0" t="n">
        <v>80000</v>
      </c>
      <c r="C6" s="4" t="n">
        <f aca="false">B6/$B$8</f>
        <v>0.08</v>
      </c>
      <c r="D6" s="5" t="n">
        <f aca="false">C6*$B$12</f>
        <v>3.056</v>
      </c>
      <c r="E6" s="0" t="s">
        <v>10</v>
      </c>
    </row>
    <row r="7" customFormat="false" ht="15" hidden="false" customHeight="false" outlineLevel="0" collapsed="false">
      <c r="A7" s="0" t="s">
        <v>11</v>
      </c>
      <c r="B7" s="0" t="n">
        <v>300000</v>
      </c>
      <c r="C7" s="4" t="n">
        <f aca="false">B7/$B$8</f>
        <v>0.3</v>
      </c>
      <c r="D7" s="5" t="n">
        <f aca="false">C7*$B$12</f>
        <v>11.46</v>
      </c>
      <c r="E7" s="0" t="s">
        <v>12</v>
      </c>
    </row>
    <row r="8" customFormat="false" ht="15" hidden="false" customHeight="false" outlineLevel="0" collapsed="false">
      <c r="A8" s="6" t="s">
        <v>13</v>
      </c>
      <c r="B8" s="6" t="n">
        <f aca="false">SUM(B5:B7)</f>
        <v>1000000</v>
      </c>
      <c r="C8" s="4" t="n">
        <f aca="false">SUM(C5:C7)</f>
        <v>1</v>
      </c>
      <c r="D8" s="7" t="n">
        <f aca="false">SUM(D5:D7)</f>
        <v>38.2</v>
      </c>
    </row>
    <row r="12" customFormat="false" ht="15" hidden="false" customHeight="false" outlineLevel="0" collapsed="false">
      <c r="A12" s="6" t="s">
        <v>14</v>
      </c>
      <c r="B12" s="8" t="n">
        <f aca="false">38200000/B8</f>
        <v>38.2</v>
      </c>
    </row>
    <row r="13" customFormat="false" ht="15" hidden="false" customHeight="false" outlineLevel="0" collapsed="false">
      <c r="A13" s="0" t="s">
        <v>15</v>
      </c>
      <c r="B13" s="9" t="n">
        <f aca="false">38200000</f>
        <v>38200000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6</v>
      </c>
    </row>
    <row r="5" customFormat="false" ht="15" hidden="false" customHeight="false" outlineLevel="0" collapsed="false">
      <c r="A5" s="0" t="s">
        <v>18</v>
      </c>
      <c r="B5" s="0" t="n">
        <v>1000000</v>
      </c>
      <c r="C5" s="4" t="n">
        <f aca="false">B5/B5</f>
        <v>1</v>
      </c>
      <c r="D5" s="0" t="s">
        <v>19</v>
      </c>
    </row>
    <row r="7" customFormat="false" ht="15" hidden="false" customHeight="false" outlineLevel="0" collapsed="false">
      <c r="A7" s="6" t="s">
        <v>20</v>
      </c>
    </row>
    <row r="8" customFormat="false" ht="15" hidden="false" customHeight="false" outlineLevel="0" collapsed="false">
      <c r="A8" s="3" t="s">
        <v>21</v>
      </c>
      <c r="B8" s="3" t="s">
        <v>22</v>
      </c>
      <c r="C8" s="3" t="s">
        <v>23</v>
      </c>
    </row>
    <row r="9" customFormat="false" ht="15" hidden="false" customHeight="false" outlineLevel="0" collapsed="false">
      <c r="A9" s="0" t="s">
        <v>24</v>
      </c>
      <c r="B9" s="0" t="s">
        <v>25</v>
      </c>
      <c r="C9" s="9" t="n">
        <v>19360000</v>
      </c>
    </row>
    <row r="10" customFormat="false" ht="15" hidden="false" customHeight="false" outlineLevel="0" collapsed="false">
      <c r="A10" s="0" t="s">
        <v>26</v>
      </c>
      <c r="B10" s="0" t="s">
        <v>25</v>
      </c>
      <c r="C10" s="5" t="n">
        <f aca="false">B$14-C9-C11</f>
        <v>3655500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9" t="n">
        <v>18190000</v>
      </c>
    </row>
    <row r="12" customFormat="false" ht="15" hidden="false" customHeight="false" outlineLevel="0" collapsed="false">
      <c r="A12" s="6" t="s">
        <v>29</v>
      </c>
      <c r="C12" s="7" t="n">
        <f aca="false">SUM(C9:C11)</f>
        <v>41205500</v>
      </c>
    </row>
    <row r="14" customFormat="false" ht="15" hidden="false" customHeight="false" outlineLevel="0" collapsed="false">
      <c r="A14" s="0" t="s">
        <v>30</v>
      </c>
      <c r="B14" s="7" t="n">
        <f aca="false">38200000+2350000+655500</f>
        <v>41205500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2026-06-28T07:19:34Z</dcterms:created>
  <dc:creator>openpyxl</dc:creator>
  <dc:description/>
  <dc:language>en-US</dc:language>
  <cp:lastModifiedBy/>
  <dcterms:modified xsi:type="dcterms:W3CDTF">2026-06-28T07:19:34Z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