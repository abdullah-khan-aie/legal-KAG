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 Pre-Pos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<sst xmlns="http://schemas.openxmlformats.org/spreadsheetml/2006/main" count="16" uniqueCount="16">
  <si>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PROJECT BEACON — MEADOWBANK FOODS LIMITED CAP TABLE (PRE &amp; POST COMPLETION)</t>
  </si>
  <si>
    <t xml:space="preserve">Assumptions</t>
  </si>
  <si>
    <t xml:space="preserve">Equity consideration £47,500,000  |  1,000,000 ordinary shares  |  Implied price per share £47.50</t>
  </si>
  <si>
    <t xml:space="preserve">Price per share (£)</t>
  </si>
  <si>
    <t xml:space="preserve">Equity consideration (£)</t>
  </si>
  <si>
    <t xml:space="preserve">Shareholder</t>
  </si>
  <si>
    <t xml:space="preserve">Pre-Completion shares</t>
  </si>
  <si>
    <t xml:space="preserve">Pre %</t>
  </si>
  <si>
    <t xml:space="preserve">Post-Completion shares</t>
  </si>
  <si>
    <t xml:space="preserve">Post %</t>
  </si>
  <si>
    <t xml:space="preserve">Consideration received (£)</t>
  </si>
  <si>
    <t xml:space="preserve">Geoffrey Marwick</t>
  </si>
  <si>
    <t xml:space="preserve">Marwick Family Trust</t>
  </si>
  <si>
    <t xml:space="preserve">Susan Marwick</t>
  </si>
  <si>
    <t xml:space="preserve">Beacon Bidco Limited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</si>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</sst>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.00;&quot;(£&quot;#,##0.00\);\-"/>
    <numFmt numFmtId="166" formatCode="\£#,##0;&quot;(£&quot;#,##0\);\-"/>
    <numFmt numFmtId="167" formatCode="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Times New Roman"/>
      <family val="0"/>
      <charset val="1"/>
    </font>
    <font>
      <b val="true"/>
      <sz val="11"/>
      <name val="Times New Roman"/>
      <family val="0"/>
      <charset val="1"/>
    </font>
    <font>
      <i val="true"/>
      <sz val="10"/>
      <name val="Times New Roman"/>
      <family val="0"/>
      <charset val="1"/>
    </font>
    <font>
      <sz val="11"/>
      <name val="Times New Roman"/>
      <family val="0"/>
      <charset val="1"/>
    </font>
    <font>
      <sz val="11"/>
      <color rgb="FF0000FF"/>
      <name val="Times New Roman"/>
      <family val="0"/>
      <charset val="1"/>
    </font>
    <font>
      <b val="true"/>
      <sz val="11"/>
      <color rgb="FFFFFFFF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CE4D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9"/>
    <col collapsed="false" customWidth="true" hidden="false" outlineLevel="0" max="4" min="4" style="0" width="20"/>
    <col collapsed="false" customWidth="true" hidden="false" outlineLevel="0" max="5" min="5" style="0" width="9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6"/>
  </cols>
  <sheetData>
    <row r="1" customFormat="false" ht="16.15" hidden="false" customHeight="false" outlineLevel="0" collapsed="false">
      <c r="A1" s="1" t="s">
        <v>0</v>
      </c>
      <c r="H1" s="2" t="s">
        <v>1</v>
      </c>
    </row>
    <row r="2" customFormat="false" ht="15" hidden="false" customHeight="false" outlineLevel="0" collapsed="false">
      <c r="A2" s="3" t="s">
        <v>2</v>
      </c>
      <c r="G2" s="4" t="s">
        <v>3</v>
      </c>
      <c r="H2" s="5" t="n">
        <v>47.5</v>
      </c>
    </row>
    <row r="3" customFormat="false" ht="15" hidden="false" customHeight="false" outlineLevel="0" collapsed="false">
      <c r="G3" s="4" t="s">
        <v>4</v>
      </c>
      <c r="H3" s="6" t="n">
        <f aca="false">H2*B9</f>
        <v>47500000</v>
      </c>
    </row>
    <row r="4" customFormat="false" ht="15" hidden="false" customHeight="false" outlineLevel="0" collapsed="false">
      <c r="A4" s="7" t="s">
        <v>5</v>
      </c>
      <c r="B4" s="7" t="s">
        <v>6</v>
      </c>
      <c r="C4" s="7" t="s">
        <v>7</v>
      </c>
      <c r="D4" s="7" t="s">
        <v>8</v>
      </c>
      <c r="E4" s="7" t="s">
        <v>9</v>
      </c>
      <c r="F4" s="7" t="s">
        <v>10</v>
      </c>
    </row>
    <row r="5" customFormat="false" ht="15" hidden="false" customHeight="false" outlineLevel="0" collapsed="false">
      <c r="A5" s="8" t="s">
        <v>11</v>
      </c>
      <c r="B5" s="9" t="n">
        <v>650000</v>
      </c>
      <c r="C5" s="10" t="n">
        <f aca="false">B5/$B$9</f>
        <v>0.65</v>
      </c>
      <c r="D5" s="9" t="n">
        <v>0</v>
      </c>
      <c r="E5" s="10" t="n">
        <f aca="false">D5/$D$9</f>
        <v>0</v>
      </c>
      <c r="F5" s="11" t="n">
        <f aca="false">B5*$H$2</f>
        <v>30875000</v>
      </c>
    </row>
    <row r="6" customFormat="false" ht="15" hidden="false" customHeight="false" outlineLevel="0" collapsed="false">
      <c r="A6" s="8" t="s">
        <v>12</v>
      </c>
      <c r="B6" s="9" t="n">
        <v>300000</v>
      </c>
      <c r="C6" s="10" t="n">
        <f aca="false">B6/$B$9</f>
        <v>0.3</v>
      </c>
      <c r="D6" s="9" t="n">
        <v>0</v>
      </c>
      <c r="E6" s="10" t="n">
        <f aca="false">D6/$D$9</f>
        <v>0</v>
      </c>
      <c r="F6" s="11" t="n">
        <f aca="false">B6*$H$2</f>
        <v>14250000</v>
      </c>
    </row>
    <row r="7" customFormat="false" ht="15" hidden="false" customHeight="false" outlineLevel="0" collapsed="false">
      <c r="A7" s="8" t="s">
        <v>13</v>
      </c>
      <c r="B7" s="9" t="n">
        <v>50000</v>
      </c>
      <c r="C7" s="10" t="n">
        <f aca="false">B7/$B$9</f>
        <v>0.05</v>
      </c>
      <c r="D7" s="9" t="n">
        <v>0</v>
      </c>
      <c r="E7" s="10" t="n">
        <f aca="false">D7/$D$9</f>
        <v>0</v>
      </c>
      <c r="F7" s="11" t="n">
        <f aca="false">B7*$H$2</f>
        <v>2375000</v>
      </c>
    </row>
    <row r="8" customFormat="false" ht="15" hidden="false" customHeight="false" outlineLevel="0" collapsed="false">
      <c r="A8" s="8" t="s">
        <v>14</v>
      </c>
      <c r="B8" s="9" t="n">
        <v>0</v>
      </c>
      <c r="C8" s="10" t="n">
        <f aca="false">B8/$B$9</f>
        <v>0</v>
      </c>
      <c r="D8" s="9" t="n">
        <v>1000000</v>
      </c>
      <c r="E8" s="10" t="n">
        <f aca="false">D8/$D$9</f>
        <v>1</v>
      </c>
      <c r="F8" s="11" t="n">
        <f aca="false">B8*$H$2</f>
        <v>0</v>
      </c>
    </row>
    <row r="9" customFormat="false" ht="15" hidden="false" customHeight="false" outlineLevel="0" collapsed="false">
      <c r="A9" s="12" t="s">
        <v>15</v>
      </c>
      <c r="B9" s="13" t="n">
        <f aca="false">SUM(B5:B8)</f>
        <v>1000000</v>
      </c>
      <c r="C9" s="14" t="n">
        <f aca="false">SUM(C5:C8)</f>
        <v>1</v>
      </c>
      <c r="D9" s="13" t="n">
        <f aca="false">SUM(D5:D8)</f>
        <v>1000000</v>
      </c>
      <c r="E9" s="14" t="n">
        <f aca="false">SUM(E5:E8)</f>
        <v>1</v>
      </c>
      <c r="F9" s="15" t="n">
        <f aca="false">SUM(F5:F8)</f>
        <v>47500000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2026-06-25T19:48:32Z</dcterms:created>
  <dc:creator>openpyxl</dc:creator>
  <dc:description/>
  <dc:language>en-US</dc:language>
  <cp:lastModifiedBy/>
  <dcterms:modified xsi:type="dcterms:W3CDTF">2026-06-25T19:48:32Z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