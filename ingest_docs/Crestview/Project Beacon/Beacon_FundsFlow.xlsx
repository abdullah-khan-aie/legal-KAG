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<sst xmlns="http://schemas.openxmlformats.org/spreadsheetml/2006/main" count="43" uniqueCount="40">
  <si>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PROJECT BEACON — COMPLETION FUNDS FLOW STATEMENT</t>
  </si>
  <si>
    <t xml:space="preserve">Acquisition of Meadowbank Foods Limited by Beacon Bidco Limited</t>
  </si>
  <si>
    <t xml:space="preserve">Completion date: 7 November 2025  |  Currency: GBP  |  Prepared by Whitfield Carter LLP</t>
  </si>
  <si>
    <t xml:space="preserve">SOURCES OF FUNDS</t>
  </si>
  <si>
    <t xml:space="preserve">Source</t>
  </si>
  <si>
    <t xml:space="preserve">Provider</t>
  </si>
  <si>
    <t xml:space="preserve">Amount (£)</t>
  </si>
  <si>
    <t xml:space="preserve">Notes</t>
  </si>
  <si>
    <t xml:space="preserve">Equity contribution</t>
  </si>
  <si>
    <t xml:space="preserve">Crestview Capital (managed funds)</t>
  </si>
  <si>
    <t xml:space="preserve">Balancing equity (= total applications less senior debt)</t>
  </si>
  <si>
    <t xml:space="preserve">Senior debt drawdown</t>
  </si>
  <si>
    <t xml:space="preserve">Sterling Commercial Bank plc</t>
  </si>
  <si>
    <t xml:space="preserve">Facility A drawn at Completion</t>
  </si>
  <si>
    <t xml:space="preserve">Total Sources</t>
  </si>
  <si>
    <t xml:space="preserve">APPLICATION OF FUNDS</t>
  </si>
  <si>
    <t xml:space="preserve">Application</t>
  </si>
  <si>
    <t xml:space="preserve">Payee</t>
  </si>
  <si>
    <t xml:space="preserve">Completion Payment for Shares</t>
  </si>
  <si>
    <t xml:space="preserve">Denham Lewis LLP (Sellers' Solicitors)</t>
  </si>
  <si>
    <t xml:space="preserve">Cash consideration at Completion</t>
  </si>
  <si>
    <t xml:space="preserve">Retention Amount</t>
  </si>
  <si>
    <t xml:space="preserve">Retention Account (joint)</t>
  </si>
  <si>
    <t xml:space="preserve">Held 18 months as security for Claims</t>
  </si>
  <si>
    <t xml:space="preserve">Repayment of Company senior debt</t>
  </si>
  <si>
    <t xml:space="preserve">HSBC UK Bank plc (existing lender)</t>
  </si>
  <si>
    <t xml:space="preserve">Existing Net Debt repaid at Completion</t>
  </si>
  <si>
    <t xml:space="preserve">SDRT on share transfer (0.5%)</t>
  </si>
  <si>
    <t xml:space="preserve">HMRC</t>
  </si>
  <si>
    <t xml:space="preserve">0.5% of £47,500,000 equity consideration</t>
  </si>
  <si>
    <t xml:space="preserve">Arrangement fee — senior facility</t>
  </si>
  <si>
    <t xml:space="preserve">1.5% of £33,000,000 facility</t>
  </si>
  <si>
    <t xml:space="preserve">Legal fees — Buyer</t>
  </si>
  <si>
    <t xml:space="preserve">Whitfield Carter LLP</t>
  </si>
  <si>
    <t xml:space="preserve">Incl. VAT and disbursements</t>
  </si>
  <si>
    <t xml:space="preserve">Financial / tax DD — Buyer</t>
  </si>
  <si>
    <t xml:space="preserve">Marlow Tax &amp; Advisory Ltd</t>
  </si>
  <si>
    <t xml:space="preserve">Incl. VAT</t>
  </si>
  <si>
    <t xml:space="preserve">Total Applications</t>
  </si>
  <si>
    <t xml:space="preserve">Check — Sources less Applications (must equal nil)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</si>
</sst>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\£#,##0;&quot;(£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i val="true"/>
      <sz val="10"/>
      <name val="Times New Roman"/>
      <family val="0"/>
      <charset val="1"/>
    </font>
    <font>
      <sz val="9"/>
      <color rgb="FF808080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color rgb="FF008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46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</row>
    <row r="7" customFormat="false" ht="15" hidden="false" customHeight="true" outlineLevel="0" collapsed="false">
      <c r="A7" s="7" t="s">
        <v>8</v>
      </c>
      <c r="B7" s="7" t="s">
        <v>9</v>
      </c>
      <c r="C7" s="8" t="n">
        <f aca="false">C20-C8</f>
        <v>18237500</v>
      </c>
      <c r="D7" s="7" t="s">
        <v>10</v>
      </c>
    </row>
    <row r="8" customFormat="false" ht="15" hidden="false" customHeight="true" outlineLevel="0" collapsed="false">
      <c r="A8" s="7" t="s">
        <v>11</v>
      </c>
      <c r="B8" s="7" t="s">
        <v>12</v>
      </c>
      <c r="C8" s="9" t="n">
        <v>33000000</v>
      </c>
      <c r="D8" s="7" t="s">
        <v>13</v>
      </c>
    </row>
    <row r="9" customFormat="false" ht="15" hidden="false" customHeight="true" outlineLevel="0" collapsed="false">
      <c r="A9" s="10" t="s">
        <v>14</v>
      </c>
      <c r="B9" s="11"/>
      <c r="C9" s="12" t="n">
        <f aca="false">SUM(C7:C8)</f>
        <v>51237500</v>
      </c>
      <c r="D9" s="11"/>
    </row>
    <row r="11" customFormat="false" ht="15" hidden="false" customHeight="true" outlineLevel="0" collapsed="false">
      <c r="A11" s="5" t="s">
        <v>15</v>
      </c>
    </row>
    <row r="12" customFormat="false" ht="15" hidden="false" customHeight="true" outlineLevel="0" collapsed="false">
      <c r="A12" s="6" t="s">
        <v>16</v>
      </c>
      <c r="B12" s="6" t="s">
        <v>17</v>
      </c>
      <c r="C12" s="6" t="s">
        <v>6</v>
      </c>
      <c r="D12" s="6" t="s">
        <v>7</v>
      </c>
    </row>
    <row r="13" customFormat="false" ht="15" hidden="false" customHeight="true" outlineLevel="0" collapsed="false">
      <c r="A13" s="7" t="s">
        <v>18</v>
      </c>
      <c r="B13" s="7" t="s">
        <v>19</v>
      </c>
      <c r="C13" s="9" t="n">
        <v>43500000</v>
      </c>
      <c r="D13" s="7" t="s">
        <v>20</v>
      </c>
    </row>
    <row r="14" customFormat="false" ht="15" hidden="false" customHeight="true" outlineLevel="0" collapsed="false">
      <c r="A14" s="7" t="s">
        <v>21</v>
      </c>
      <c r="B14" s="7" t="s">
        <v>22</v>
      </c>
      <c r="C14" s="9" t="n">
        <v>2000000</v>
      </c>
      <c r="D14" s="7" t="s">
        <v>23</v>
      </c>
    </row>
    <row r="15" customFormat="false" ht="15" hidden="false" customHeight="true" outlineLevel="0" collapsed="false">
      <c r="A15" s="7" t="s">
        <v>24</v>
      </c>
      <c r="B15" s="7" t="s">
        <v>25</v>
      </c>
      <c r="C15" s="9" t="n">
        <v>4500000</v>
      </c>
      <c r="D15" s="7" t="s">
        <v>26</v>
      </c>
    </row>
    <row r="16" customFormat="false" ht="15" hidden="false" customHeight="true" outlineLevel="0" collapsed="false">
      <c r="A16" s="7" t="s">
        <v>27</v>
      </c>
      <c r="B16" s="7" t="s">
        <v>28</v>
      </c>
      <c r="C16" s="9" t="n">
        <v>237500</v>
      </c>
      <c r="D16" s="7" t="s">
        <v>29</v>
      </c>
    </row>
    <row r="17" customFormat="false" ht="15" hidden="false" customHeight="true" outlineLevel="0" collapsed="false">
      <c r="A17" s="7" t="s">
        <v>30</v>
      </c>
      <c r="B17" s="7" t="s">
        <v>12</v>
      </c>
      <c r="C17" s="9" t="n">
        <v>495000</v>
      </c>
      <c r="D17" s="7" t="s">
        <v>31</v>
      </c>
    </row>
    <row r="18" customFormat="false" ht="15" hidden="false" customHeight="true" outlineLevel="0" collapsed="false">
      <c r="A18" s="7" t="s">
        <v>32</v>
      </c>
      <c r="B18" s="7" t="s">
        <v>33</v>
      </c>
      <c r="C18" s="9" t="n">
        <v>385000</v>
      </c>
      <c r="D18" s="7" t="s">
        <v>34</v>
      </c>
    </row>
    <row r="19" customFormat="false" ht="15" hidden="false" customHeight="true" outlineLevel="0" collapsed="false">
      <c r="A19" s="7" t="s">
        <v>35</v>
      </c>
      <c r="B19" s="7" t="s">
        <v>36</v>
      </c>
      <c r="C19" s="9" t="n">
        <v>120000</v>
      </c>
      <c r="D19" s="7" t="s">
        <v>37</v>
      </c>
    </row>
    <row r="20" customFormat="false" ht="15" hidden="false" customHeight="true" outlineLevel="0" collapsed="false">
      <c r="A20" s="10" t="s">
        <v>38</v>
      </c>
      <c r="B20" s="11"/>
      <c r="C20" s="12" t="n">
        <f aca="false">SUM(C13:C19)</f>
        <v>51237500</v>
      </c>
      <c r="D20" s="11"/>
    </row>
    <row r="22" customFormat="false" ht="15" hidden="false" customHeight="true" outlineLevel="0" collapsed="false">
      <c r="A22" s="5" t="s">
        <v>39</v>
      </c>
      <c r="C22" s="13" t="n">
        <f aca="false">C9-C20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2026-06-25T19:48:32Z</dcterms:created>
  <dc:creator>openpyxl</dc:creator>
  <dc:description/>
  <dc:language>en-US</dc:language>
  <cp:lastModifiedBy/>
  <dcterms:modified xsi:type="dcterms:W3CDTF">2026-06-25T19:48:59Z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