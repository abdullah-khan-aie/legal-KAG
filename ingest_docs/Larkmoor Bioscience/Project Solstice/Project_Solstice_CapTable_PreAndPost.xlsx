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<sst xmlns="http://schemas.openxmlformats.org/spreadsheetml/2006/main" count="33" uniqueCount="29">
  <si>
    <t xml:space="preserve">Larkmoor Bioscience Limited — Project Solstice</t>
  </si>
  <si>
    <t xml:space="preserve">Capitalisation Table — Pre- and Post-Series A (Completion 12 September 2025)</t>
  </si>
  <si>
    <t xml:space="preserve">Series A round economics (£)</t>
  </si>
  <si>
    <t xml:space="preserve">Pre-money valuation</t>
  </si>
  <si>
    <t xml:space="preserve">New investment (Series A)</t>
  </si>
  <si>
    <t xml:space="preserve">Issue price per Series A Preferred Share (£)</t>
  </si>
  <si>
    <t xml:space="preserve">Post-money valuation</t>
  </si>
  <si>
    <t xml:space="preserve">Shareholder</t>
  </si>
  <si>
    <t xml:space="preserve">Class</t>
  </si>
  <si>
    <t xml:space="preserve">Shares (Pre)</t>
  </si>
  <si>
    <t xml:space="preserve">% (Pre)</t>
  </si>
  <si>
    <t xml:space="preserve">New Series A Shares</t>
  </si>
  <si>
    <t xml:space="preserve">Shares (Post)</t>
  </si>
  <si>
    <t xml:space="preserve">% (Post)</t>
  </si>
  <si>
    <t xml:space="preserve">Dr Alice Wren (Founder/CEO)</t>
  </si>
  <si>
    <t xml:space="preserve">Ordinary</t>
  </si>
  <si>
    <t xml:space="preserve">Dr Sanjay Rao (Co-founder/CTO)</t>
  </si>
  <si>
    <t xml:space="preserve">Marcus Veldt (CFO)</t>
  </si>
  <si>
    <t xml:space="preserve">Helix Seed Partners LP</t>
  </si>
  <si>
    <t xml:space="preserve">Other angel investors</t>
  </si>
  <si>
    <t xml:space="preserve">EMI Option Pool (reserved)</t>
  </si>
  <si>
    <t xml:space="preserve">Ordinary (ESOP)</t>
  </si>
  <si>
    <t xml:space="preserve">Ardent Ventures LLP</t>
  </si>
  <si>
    <t xml:space="preserve">Series A Preferred</t>
  </si>
  <si>
    <t xml:space="preserve">TOTAL</t>
  </si>
  <si>
    <t xml:space="preserve">Notes:</t>
  </si>
  <si>
    <t xml:space="preserve">• Series A Preferred issued to Ardent Ventures LLP at £4.00 per share for £8,000,000, representing 25.0% on a fully diluted post-money basis.</t>
  </si>
  <si>
    <t xml:space="preserve">• EMI option pool to be increased to 12.0% of fully diluted post-money capital by post-completion board resolution (see Subscription &amp; Shareholders' Agreement, Schedule 4).</t>
  </si>
  <si>
    <t xml:space="preserve">• Founder shares subject to reverse vesting over 48 months per the Subscription &amp; Shareholders' Agreement.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</si>
</sst>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"/>
    <numFmt numFmtId="166" formatCode="\£#,##0.00"/>
    <numFmt numFmtId="167" formatCode="#,##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24000000</v>
      </c>
    </row>
    <row r="6" customFormat="false" ht="15" hidden="false" customHeight="false" outlineLevel="0" collapsed="false">
      <c r="A6" s="0" t="s">
        <v>4</v>
      </c>
      <c r="B6" s="4" t="n">
        <v>8000000</v>
      </c>
    </row>
    <row r="7" customFormat="false" ht="15" hidden="false" customHeight="false" outlineLevel="0" collapsed="false">
      <c r="A7" s="0" t="s">
        <v>5</v>
      </c>
      <c r="B7" s="5" t="n">
        <v>4</v>
      </c>
    </row>
    <row r="8" customFormat="false" ht="15" hidden="false" customHeight="false" outlineLevel="0" collapsed="false">
      <c r="A8" s="0" t="s">
        <v>6</v>
      </c>
      <c r="B8" s="6" t="n">
        <f aca="false">B5+B6</f>
        <v>32000000</v>
      </c>
    </row>
    <row r="11" customFormat="false" ht="15" hidden="false" customHeight="false" outlineLevel="0" collapsed="false">
      <c r="A11" s="7" t="s">
        <v>7</v>
      </c>
      <c r="B11" s="7" t="s">
        <v>8</v>
      </c>
      <c r="C11" s="7" t="s">
        <v>9</v>
      </c>
      <c r="D11" s="7" t="s">
        <v>10</v>
      </c>
      <c r="E11" s="7" t="s">
        <v>11</v>
      </c>
      <c r="F11" s="7" t="s">
        <v>12</v>
      </c>
      <c r="G11" s="7" t="s">
        <v>13</v>
      </c>
    </row>
    <row r="12" customFormat="false" ht="15" hidden="false" customHeight="false" outlineLevel="0" collapsed="false">
      <c r="A12" s="8" t="s">
        <v>14</v>
      </c>
      <c r="B12" s="8" t="s">
        <v>15</v>
      </c>
      <c r="C12" s="9" t="n">
        <v>2400000</v>
      </c>
      <c r="D12" s="10" t="n">
        <f aca="false">C12/$C$19</f>
        <v>0.4</v>
      </c>
      <c r="E12" s="9" t="n">
        <v>0</v>
      </c>
      <c r="F12" s="11" t="n">
        <f aca="false">C12+E12</f>
        <v>2400000</v>
      </c>
      <c r="G12" s="10" t="n">
        <f aca="false">F12/$F$19</f>
        <v>0.3</v>
      </c>
    </row>
    <row r="13" customFormat="false" ht="15" hidden="false" customHeight="false" outlineLevel="0" collapsed="false">
      <c r="A13" s="8" t="s">
        <v>16</v>
      </c>
      <c r="B13" s="8" t="s">
        <v>15</v>
      </c>
      <c r="C13" s="9" t="n">
        <v>1800000</v>
      </c>
      <c r="D13" s="10" t="n">
        <f aca="false">C13/$C$19</f>
        <v>0.3</v>
      </c>
      <c r="E13" s="9" t="n">
        <v>0</v>
      </c>
      <c r="F13" s="11" t="n">
        <f aca="false">C13+E13</f>
        <v>1800000</v>
      </c>
      <c r="G13" s="10" t="n">
        <f aca="false">F13/$F$19</f>
        <v>0.225</v>
      </c>
    </row>
    <row r="14" customFormat="false" ht="15" hidden="false" customHeight="false" outlineLevel="0" collapsed="false">
      <c r="A14" s="8" t="s">
        <v>17</v>
      </c>
      <c r="B14" s="8" t="s">
        <v>15</v>
      </c>
      <c r="C14" s="9" t="n">
        <v>300000</v>
      </c>
      <c r="D14" s="10" t="n">
        <f aca="false">C14/$C$19</f>
        <v>0.05</v>
      </c>
      <c r="E14" s="9" t="n">
        <v>0</v>
      </c>
      <c r="F14" s="11" t="n">
        <f aca="false">C14+E14</f>
        <v>300000</v>
      </c>
      <c r="G14" s="10" t="n">
        <f aca="false">F14/$F$19</f>
        <v>0.0375</v>
      </c>
    </row>
    <row r="15" customFormat="false" ht="15" hidden="false" customHeight="false" outlineLevel="0" collapsed="false">
      <c r="A15" s="8" t="s">
        <v>18</v>
      </c>
      <c r="B15" s="8" t="s">
        <v>15</v>
      </c>
      <c r="C15" s="9" t="n">
        <v>900000</v>
      </c>
      <c r="D15" s="10" t="n">
        <f aca="false">C15/$C$19</f>
        <v>0.15</v>
      </c>
      <c r="E15" s="9" t="n">
        <v>0</v>
      </c>
      <c r="F15" s="11" t="n">
        <f aca="false">C15+E15</f>
        <v>900000</v>
      </c>
      <c r="G15" s="10" t="n">
        <f aca="false">F15/$F$19</f>
        <v>0.1125</v>
      </c>
    </row>
    <row r="16" customFormat="false" ht="15" hidden="false" customHeight="false" outlineLevel="0" collapsed="false">
      <c r="A16" s="8" t="s">
        <v>19</v>
      </c>
      <c r="B16" s="8" t="s">
        <v>15</v>
      </c>
      <c r="C16" s="9" t="n">
        <v>360000</v>
      </c>
      <c r="D16" s="10" t="n">
        <f aca="false">C16/$C$19</f>
        <v>0.06</v>
      </c>
      <c r="E16" s="9" t="n">
        <v>0</v>
      </c>
      <c r="F16" s="11" t="n">
        <f aca="false">C16+E16</f>
        <v>360000</v>
      </c>
      <c r="G16" s="10" t="n">
        <f aca="false">F16/$F$19</f>
        <v>0.045</v>
      </c>
    </row>
    <row r="17" customFormat="false" ht="15" hidden="false" customHeight="false" outlineLevel="0" collapsed="false">
      <c r="A17" s="8" t="s">
        <v>20</v>
      </c>
      <c r="B17" s="8" t="s">
        <v>21</v>
      </c>
      <c r="C17" s="9" t="n">
        <v>240000</v>
      </c>
      <c r="D17" s="10" t="n">
        <f aca="false">C17/$C$19</f>
        <v>0.04</v>
      </c>
      <c r="E17" s="9" t="n">
        <v>0</v>
      </c>
      <c r="F17" s="11" t="n">
        <f aca="false">C17+E17</f>
        <v>240000</v>
      </c>
      <c r="G17" s="10" t="n">
        <f aca="false">F17/$F$19</f>
        <v>0.03</v>
      </c>
    </row>
    <row r="18" customFormat="false" ht="15" hidden="false" customHeight="false" outlineLevel="0" collapsed="false">
      <c r="A18" s="8" t="s">
        <v>22</v>
      </c>
      <c r="B18" s="8" t="s">
        <v>23</v>
      </c>
      <c r="C18" s="9" t="n">
        <v>0</v>
      </c>
      <c r="D18" s="10" t="n">
        <f aca="false">C18/$C$19</f>
        <v>0</v>
      </c>
      <c r="E18" s="9" t="n">
        <v>2000000</v>
      </c>
      <c r="F18" s="11" t="n">
        <f aca="false">C18+E18</f>
        <v>2000000</v>
      </c>
      <c r="G18" s="10" t="n">
        <f aca="false">F18/$F$19</f>
        <v>0.25</v>
      </c>
    </row>
    <row r="19" customFormat="false" ht="15" hidden="false" customHeight="false" outlineLevel="0" collapsed="false">
      <c r="A19" s="12" t="s">
        <v>24</v>
      </c>
      <c r="B19" s="12"/>
      <c r="C19" s="13" t="n">
        <f aca="false">SUM(C12:C18)</f>
        <v>6000000</v>
      </c>
      <c r="D19" s="14" t="n">
        <f aca="false">C19/C19</f>
        <v>1</v>
      </c>
      <c r="E19" s="13" t="n">
        <f aca="false">SUM(E12:E18)</f>
        <v>2000000</v>
      </c>
      <c r="F19" s="13" t="n">
        <f aca="false">SUM(F12:F18)</f>
        <v>8000000</v>
      </c>
      <c r="G19" s="14" t="n">
        <f aca="false">F19/F19</f>
        <v>1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15" t="s">
        <v>26</v>
      </c>
    </row>
    <row r="23" customFormat="false" ht="15" hidden="false" customHeight="false" outlineLevel="0" collapsed="false">
      <c r="A23" s="15" t="s">
        <v>27</v>
      </c>
    </row>
    <row r="24" customFormat="false" ht="15" hidden="false" customHeight="false" outlineLevel="0" collapsed="false">
      <c r="A24" s="1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2026-06-27T19:18:52Z</dcterms:created>
  <dc:creator>openpyxl</dc:creator>
  <dc:description/>
  <dc:language>en-US</dc:language>
  <cp:lastModifiedBy/>
  <dcterms:modified xsi:type="dcterms:W3CDTF">2026-06-27T19:18:52Z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