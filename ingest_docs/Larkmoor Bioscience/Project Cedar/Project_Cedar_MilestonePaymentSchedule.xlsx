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lestone Schedu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<sst xmlns="http://schemas.openxmlformats.org/spreadsheetml/2006/main" count="28" uniqueCount="26">
  <si>
    <t xml:space="preserve">Project Cedar — Milestone &amp; Payment Schedule</t>
  </si>
  <si>
    <t xml:space="preserve">Larkmoor Bioscience Limited / Verrell Beauty Group plc. Per Schedule 3 &amp; Schedule 4 of the Licence Agreement.</t>
  </si>
  <si>
    <t xml:space="preserve">No.</t>
  </si>
  <si>
    <t xml:space="preserve">Milestone event</t>
  </si>
  <si>
    <t xml:space="preserve">Longstop date</t>
  </si>
  <si>
    <t xml:space="preserve">Status</t>
  </si>
  <si>
    <t xml:space="preserve">Payment (£)</t>
  </si>
  <si>
    <t xml:space="preserve">Expected payment date</t>
  </si>
  <si>
    <t xml:space="preserve">Completion of technology transfer &amp; pilot-scale reproduction</t>
  </si>
  <si>
    <t xml:space="preserve">6 months after Effective Date</t>
  </si>
  <si>
    <t xml:space="preserve">On track</t>
  </si>
  <si>
    <t xml:space="preserve">Jul 2026</t>
  </si>
  <si>
    <t xml:space="preserve">Completion of regulatory / cosmetic-safety dossier (Reg. (EC) 1223/2009)</t>
  </si>
  <si>
    <t xml:space="preserve">18 months after Effective Date</t>
  </si>
  <si>
    <t xml:space="preserve">Pending</t>
  </si>
  <si>
    <t xml:space="preserve">Jul 2027</t>
  </si>
  <si>
    <t xml:space="preserve">First commercial sale of a Licensed Product</t>
  </si>
  <si>
    <t xml:space="preserve">30 months after Effective Date</t>
  </si>
  <si>
    <t xml:space="preserve">Jul 2028</t>
  </si>
  <si>
    <t xml:space="preserve">Annual Net Sales first exceeding £25,000,000</t>
  </si>
  <si>
    <t xml:space="preserve">n/a (sales-based)</t>
  </si>
  <si>
    <t xml:space="preserve">Year 5 (est.)</t>
  </si>
  <si>
    <t xml:space="preserve">Aggregate maximum milestone payments</t>
  </si>
  <si>
    <t xml:space="preserve">Upfront fee (Clause 7.1)</t>
  </si>
  <si>
    <t xml:space="preserve">Total fixed consideration (upfront + milestones)</t>
  </si>
  <si>
    <t xml:space="preserve">Each milestone payment is payable once only, within 30 days of achievement of the relevant event (Schedule 4 Part B).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</si>
</sst>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;&quot;(£&quot;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6.85" hidden="false" customHeight="false" outlineLevel="0" collapsed="false">
      <c r="A5" s="4" t="n">
        <v>1</v>
      </c>
      <c r="B5" s="4" t="s">
        <v>8</v>
      </c>
      <c r="C5" s="4" t="s">
        <v>9</v>
      </c>
      <c r="D5" s="4" t="s">
        <v>10</v>
      </c>
      <c r="E5" s="5" t="n">
        <v>500000</v>
      </c>
      <c r="F5" s="4" t="s">
        <v>11</v>
      </c>
    </row>
    <row r="6" customFormat="false" ht="26.85" hidden="false" customHeight="false" outlineLevel="0" collapsed="false">
      <c r="A6" s="4" t="n">
        <v>2</v>
      </c>
      <c r="B6" s="4" t="s">
        <v>12</v>
      </c>
      <c r="C6" s="4" t="s">
        <v>13</v>
      </c>
      <c r="D6" s="4" t="s">
        <v>14</v>
      </c>
      <c r="E6" s="5" t="n">
        <v>750000</v>
      </c>
      <c r="F6" s="4" t="s">
        <v>15</v>
      </c>
    </row>
    <row r="7" customFormat="false" ht="26.85" hidden="false" customHeight="false" outlineLevel="0" collapsed="false">
      <c r="A7" s="4" t="n">
        <v>3</v>
      </c>
      <c r="B7" s="4" t="s">
        <v>16</v>
      </c>
      <c r="C7" s="4" t="s">
        <v>17</v>
      </c>
      <c r="D7" s="4" t="s">
        <v>14</v>
      </c>
      <c r="E7" s="5" t="n">
        <v>1500000</v>
      </c>
      <c r="F7" s="4" t="s">
        <v>18</v>
      </c>
    </row>
    <row r="8" customFormat="false" ht="15" hidden="false" customHeight="false" outlineLevel="0" collapsed="false">
      <c r="A8" s="4" t="n">
        <v>4</v>
      </c>
      <c r="B8" s="4" t="s">
        <v>19</v>
      </c>
      <c r="C8" s="4" t="s">
        <v>20</v>
      </c>
      <c r="D8" s="4" t="s">
        <v>14</v>
      </c>
      <c r="E8" s="5" t="n">
        <v>1500000</v>
      </c>
      <c r="F8" s="4" t="s">
        <v>21</v>
      </c>
    </row>
    <row r="9" customFormat="false" ht="15" hidden="false" customHeight="false" outlineLevel="0" collapsed="false">
      <c r="A9" s="6"/>
      <c r="B9" s="7" t="s">
        <v>22</v>
      </c>
      <c r="C9" s="6"/>
      <c r="D9" s="6"/>
      <c r="E9" s="8" t="n">
        <f aca="false">SUM(E5:E8)</f>
        <v>4250000</v>
      </c>
      <c r="F9" s="6"/>
    </row>
    <row r="11" customFormat="false" ht="15" hidden="false" customHeight="false" outlineLevel="0" collapsed="false">
      <c r="B11" s="9" t="s">
        <v>23</v>
      </c>
      <c r="E11" s="10" t="n">
        <v>1750000</v>
      </c>
    </row>
    <row r="12" customFormat="false" ht="15" hidden="false" customHeight="false" outlineLevel="0" collapsed="false">
      <c r="B12" s="7" t="s">
        <v>24</v>
      </c>
      <c r="E12" s="11" t="n">
        <f aca="false">E11+E9</f>
        <v>6000000</v>
      </c>
    </row>
    <row r="14" customFormat="false" ht="15" hidden="false" customHeight="false" outlineLevel="0" collapsed="false">
      <c r="A14" s="12" t="s">
        <v>25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2026-06-26T10:50:37Z</dcterms:created>
  <dc:creator>openpyxl</dc:creator>
  <dc:description/>
  <dc:language>en-US</dc:language>
  <cp:lastModifiedBy/>
  <dcterms:modified xsi:type="dcterms:W3CDTF">2026-06-26T10:50:37Z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