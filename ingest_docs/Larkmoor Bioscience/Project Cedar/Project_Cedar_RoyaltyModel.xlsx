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Net Sales &amp; Royalty" sheetId="2" state="visible" r:id="rId4"/>
    <sheet name="Deal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<sst xmlns="http://schemas.openxmlformats.org/spreadsheetml/2006/main" count="59" uniqueCount="53">
  <si>
    <t xml:space="preserve">Project Cedar — Royalty Model: Assumptions</t>
  </si>
  <si>
    <t xml:space="preserve">Larkmoor Bioscience Limited (Licensor) / Verrell Beauty Group plc (Licensee). All figures £ unless stated. Blue = input.</t>
  </si>
  <si>
    <t xml:space="preserve">Key commercial terms (per executed Licence Agreement dated 19 January 2026)</t>
  </si>
  <si>
    <t xml:space="preserve">Upfront fee</t>
  </si>
  <si>
    <t xml:space="preserve">Clause 7.1</t>
  </si>
  <si>
    <t xml:space="preserve">Running royalty rate (Valid Claim)</t>
  </si>
  <si>
    <t xml:space="preserve">Clause 7.3 (as negotiated, v3)</t>
  </si>
  <si>
    <t xml:space="preserve">Know-how-only royalty rate</t>
  </si>
  <si>
    <t xml:space="preserve">Clause 7.4</t>
  </si>
  <si>
    <t xml:space="preserve">Net Sales milestone trigger</t>
  </si>
  <si>
    <t xml:space="preserve">Schedule 4 Part B</t>
  </si>
  <si>
    <t xml:space="preserve">Aggregate milestone cap</t>
  </si>
  <si>
    <t xml:space="preserve">Minimum annual royalty — Year 2</t>
  </si>
  <si>
    <t xml:space="preserve">Schedule 4 Part D</t>
  </si>
  <si>
    <t xml:space="preserve">Minimum annual royalty — Year 3</t>
  </si>
  <si>
    <t xml:space="preserve">Minimum annual royalty — Year 4+</t>
  </si>
  <si>
    <t xml:space="preserve">VAT rate (for reference)</t>
  </si>
  <si>
    <t xml:space="preserve">Clause 8.2</t>
  </si>
  <si>
    <t xml:space="preserve">Project Cedar — Net Sales &amp; Royalty Projection (illustrative)</t>
  </si>
  <si>
    <t xml:space="preserve">10 contract years from first commercial sale. Net Sales split into Valid-Claim and Know-How-only baskets. Green = link to Assumptions.</t>
  </si>
  <si>
    <t xml:space="preserve">£ unless stated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</si>
  <si>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</si>
  <si>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</si>
  <si>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</si>
  <si>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</si>
  <si>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</si>
  <si>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</si>
  <si>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</si>
  <si>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</si>
  <si>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</si>
  <si>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</si>
  <si>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Total / 10 yrs</t>
  </si>
  <si>
    <t xml:space="preserve">Net Sales — Valid-Claim products</t>
  </si>
  <si>
    <t xml:space="preserve">Net Sales — Know-How-only products</t>
  </si>
  <si>
    <t xml:space="preserve">Total Net Sales</t>
  </si>
  <si>
    <t xml:space="preserve">Royalty on Valid-Claim sales (5.5%)</t>
  </si>
  <si>
    <t xml:space="preserve">Royalty on Know-How sales (4.0%)</t>
  </si>
  <si>
    <t xml:space="preserve">Earned royalty (subtotal)</t>
  </si>
  <si>
    <t xml:space="preserve">Minimum annual royalty</t>
  </si>
  <si>
    <t xml:space="preserve">0</t>
  </si>
  <si>
    <t xml:space="preserve">Royalty payable (greater of earned / minimum)</t>
  </si>
  <si>
    <t xml:space="preserve">Cumulative royalty payable</t>
  </si>
  <si>
    <t xml:space="preserve">Effective royalty rate (% of Net Sales)</t>
  </si>
  <si>
    <t xml:space="preserve">Note: illustrative projection prepared for internal modelling only; Net Sales inputs are estimates. Royalty payable reflects the minimum-annual-royalty floor (Clause 7.6) and the negotiated 5.5% rate (Clause 7.3).</t>
  </si>
  <si>
    <t xml:space="preserve">Project Cedar — Total Consideration Summary</t>
  </si>
  <si>
    <t xml:space="preserve">Upfront + milestones + 10-year royalty (illustrative).</t>
  </si>
  <si>
    <t xml:space="preserve">Component</t>
  </si>
  <si>
    <t xml:space="preserve">Amount (£)</t>
  </si>
  <si>
    <t xml:space="preserve">Reference</t>
  </si>
  <si>
    <t xml:space="preserve">Milestone payments (max, if all achieved)</t>
  </si>
  <si>
    <t xml:space="preserve">Royalties — 10-year illustrative total</t>
  </si>
  <si>
    <t xml:space="preserve">Net Sales &amp; Royalty sheet</t>
  </si>
  <si>
    <t xml:space="preserve">Total illustrative consideration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</si>
</sst>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;&quot;(£&quot;#,##0\);\-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32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1750000</v>
      </c>
      <c r="C5" s="6" t="s">
        <v>4</v>
      </c>
    </row>
    <row r="6" customFormat="false" ht="15" hidden="false" customHeight="false" outlineLevel="0" collapsed="false">
      <c r="A6" s="4" t="s">
        <v>5</v>
      </c>
      <c r="B6" s="7" t="n">
        <v>0.055</v>
      </c>
      <c r="C6" s="6" t="s">
        <v>6</v>
      </c>
    </row>
    <row r="7" customFormat="false" ht="15" hidden="false" customHeight="false" outlineLevel="0" collapsed="false">
      <c r="A7" s="4" t="s">
        <v>7</v>
      </c>
      <c r="B7" s="7" t="n">
        <v>0.04</v>
      </c>
      <c r="C7" s="6" t="s">
        <v>8</v>
      </c>
    </row>
    <row r="8" customFormat="false" ht="15" hidden="false" customHeight="false" outlineLevel="0" collapsed="false">
      <c r="A8" s="4" t="s">
        <v>9</v>
      </c>
      <c r="B8" s="5" t="n">
        <v>25000000</v>
      </c>
      <c r="C8" s="6" t="s">
        <v>10</v>
      </c>
    </row>
    <row r="9" customFormat="false" ht="15" hidden="false" customHeight="false" outlineLevel="0" collapsed="false">
      <c r="A9" s="4" t="s">
        <v>11</v>
      </c>
      <c r="B9" s="5" t="n">
        <v>4250000</v>
      </c>
      <c r="C9" s="6" t="s">
        <v>10</v>
      </c>
    </row>
    <row r="10" customFormat="false" ht="15" hidden="false" customHeight="false" outlineLevel="0" collapsed="false">
      <c r="A10" s="4" t="s">
        <v>12</v>
      </c>
      <c r="B10" s="5" t="n">
        <v>150000</v>
      </c>
      <c r="C10" s="6" t="s">
        <v>13</v>
      </c>
    </row>
    <row r="11" customFormat="false" ht="15" hidden="false" customHeight="false" outlineLevel="0" collapsed="false">
      <c r="A11" s="4" t="s">
        <v>14</v>
      </c>
      <c r="B11" s="5" t="n">
        <v>350000</v>
      </c>
      <c r="C11" s="6" t="s">
        <v>13</v>
      </c>
    </row>
    <row r="12" customFormat="false" ht="15" hidden="false" customHeight="false" outlineLevel="0" collapsed="false">
      <c r="A12" s="4" t="s">
        <v>15</v>
      </c>
      <c r="B12" s="5" t="n">
        <v>600000</v>
      </c>
      <c r="C12" s="6" t="s">
        <v>13</v>
      </c>
    </row>
    <row r="13" customFormat="false" ht="15" hidden="false" customHeight="false" outlineLevel="0" collapsed="false">
      <c r="A13" s="4" t="s">
        <v>16</v>
      </c>
      <c r="B13" s="7" t="n">
        <v>0.2</v>
      </c>
      <c r="C13" s="6" t="s">
        <v>17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2"/>
    <col collapsed="false" customWidth="true" hidden="false" outlineLevel="0" max="12" min="12" style="0" width="14"/>
  </cols>
  <sheetData>
    <row r="1" customFormat="false" ht="24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  <c r="J4" s="8" t="s">
        <v>29</v>
      </c>
      <c r="K4" s="8" t="s">
        <v>30</v>
      </c>
      <c r="L4" s="9" t="s">
        <v>31</v>
      </c>
    </row>
    <row r="5" customFormat="false" ht="15" hidden="false" customHeight="false" outlineLevel="0" collapsed="false">
      <c r="A5" s="3" t="s">
        <v>32</v>
      </c>
      <c r="B5" s="5" t="n">
        <v>0</v>
      </c>
      <c r="C5" s="5" t="n">
        <v>2200000</v>
      </c>
      <c r="D5" s="5" t="n">
        <v>6800000</v>
      </c>
      <c r="E5" s="5" t="n">
        <v>14500000</v>
      </c>
      <c r="F5" s="5" t="n">
        <v>23000000</v>
      </c>
      <c r="G5" s="5" t="n">
        <v>31000000</v>
      </c>
      <c r="H5" s="5" t="n">
        <v>38000000</v>
      </c>
      <c r="I5" s="5" t="n">
        <v>44000000</v>
      </c>
      <c r="J5" s="5" t="n">
        <v>49000000</v>
      </c>
      <c r="K5" s="5" t="n">
        <v>53000000</v>
      </c>
      <c r="L5" s="10" t="n">
        <f aca="false">SUM(B5:K5)</f>
        <v>261500000</v>
      </c>
    </row>
    <row r="6" customFormat="false" ht="15" hidden="false" customHeight="false" outlineLevel="0" collapsed="false">
      <c r="A6" s="3" t="s">
        <v>33</v>
      </c>
      <c r="B6" s="5" t="n">
        <v>0</v>
      </c>
      <c r="C6" s="5" t="n">
        <v>300000</v>
      </c>
      <c r="D6" s="5" t="n">
        <v>1100000</v>
      </c>
      <c r="E6" s="5" t="n">
        <v>2600000</v>
      </c>
      <c r="F6" s="5" t="n">
        <v>4200000</v>
      </c>
      <c r="G6" s="5" t="n">
        <v>5500000</v>
      </c>
      <c r="H6" s="5" t="n">
        <v>6800000</v>
      </c>
      <c r="I6" s="5" t="n">
        <v>7600000</v>
      </c>
      <c r="J6" s="5" t="n">
        <v>8200000</v>
      </c>
      <c r="K6" s="5" t="n">
        <v>8700000</v>
      </c>
      <c r="L6" s="10" t="n">
        <f aca="false">SUM(B6:K6)</f>
        <v>45000000</v>
      </c>
    </row>
    <row r="7" customFormat="false" ht="15" hidden="false" customHeight="false" outlineLevel="0" collapsed="false">
      <c r="A7" s="3" t="s">
        <v>34</v>
      </c>
      <c r="B7" s="11" t="n">
        <f aca="false">B5+B6</f>
        <v>0</v>
      </c>
      <c r="C7" s="11" t="n">
        <f aca="false">C5+C6</f>
        <v>2500000</v>
      </c>
      <c r="D7" s="11" t="n">
        <f aca="false">D5+D6</f>
        <v>7900000</v>
      </c>
      <c r="E7" s="11" t="n">
        <f aca="false">E5+E6</f>
        <v>17100000</v>
      </c>
      <c r="F7" s="11" t="n">
        <f aca="false">F5+F6</f>
        <v>27200000</v>
      </c>
      <c r="G7" s="11" t="n">
        <f aca="false">G5+G6</f>
        <v>36500000</v>
      </c>
      <c r="H7" s="11" t="n">
        <f aca="false">H5+H6</f>
        <v>44800000</v>
      </c>
      <c r="I7" s="11" t="n">
        <f aca="false">I5+I6</f>
        <v>51600000</v>
      </c>
      <c r="J7" s="11" t="n">
        <f aca="false">J5+J6</f>
        <v>57200000</v>
      </c>
      <c r="K7" s="11" t="n">
        <f aca="false">K5+K6</f>
        <v>61700000</v>
      </c>
      <c r="L7" s="10" t="n">
        <f aca="false">SUM(B7:K7)</f>
        <v>306500000</v>
      </c>
    </row>
    <row r="8" customFormat="false" ht="15" hidden="false" customHeight="false" outlineLevel="0" collapsed="false">
      <c r="A8" s="12" t="s">
        <v>35</v>
      </c>
      <c r="B8" s="13" t="n">
        <f aca="false">B5*Assumptions!$B$6</f>
        <v>0</v>
      </c>
      <c r="C8" s="13" t="n">
        <f aca="false">C5*Assumptions!$B$6</f>
        <v>121000</v>
      </c>
      <c r="D8" s="13" t="n">
        <f aca="false">D5*Assumptions!$B$6</f>
        <v>374000</v>
      </c>
      <c r="E8" s="13" t="n">
        <f aca="false">E5*Assumptions!$B$6</f>
        <v>797500</v>
      </c>
      <c r="F8" s="13" t="n">
        <f aca="false">F5*Assumptions!$B$6</f>
        <v>1265000</v>
      </c>
      <c r="G8" s="13" t="n">
        <f aca="false">G5*Assumptions!$B$6</f>
        <v>1705000</v>
      </c>
      <c r="H8" s="13" t="n">
        <f aca="false">H5*Assumptions!$B$6</f>
        <v>2090000</v>
      </c>
      <c r="I8" s="13" t="n">
        <f aca="false">I5*Assumptions!$B$6</f>
        <v>2420000</v>
      </c>
      <c r="J8" s="13" t="n">
        <f aca="false">J5*Assumptions!$B$6</f>
        <v>2695000</v>
      </c>
      <c r="K8" s="13" t="n">
        <f aca="false">K5*Assumptions!$B$6</f>
        <v>2915000</v>
      </c>
      <c r="L8" s="10" t="n">
        <f aca="false">SUM(B8:K8)</f>
        <v>14382500</v>
      </c>
    </row>
    <row r="9" customFormat="false" ht="15" hidden="false" customHeight="false" outlineLevel="0" collapsed="false">
      <c r="A9" s="12" t="s">
        <v>36</v>
      </c>
      <c r="B9" s="13" t="n">
        <f aca="false">B6*Assumptions!$B$7</f>
        <v>0</v>
      </c>
      <c r="C9" s="13" t="n">
        <f aca="false">C6*Assumptions!$B$7</f>
        <v>12000</v>
      </c>
      <c r="D9" s="13" t="n">
        <f aca="false">D6*Assumptions!$B$7</f>
        <v>44000</v>
      </c>
      <c r="E9" s="13" t="n">
        <f aca="false">E6*Assumptions!$B$7</f>
        <v>104000</v>
      </c>
      <c r="F9" s="13" t="n">
        <f aca="false">F6*Assumptions!$B$7</f>
        <v>168000</v>
      </c>
      <c r="G9" s="13" t="n">
        <f aca="false">G6*Assumptions!$B$7</f>
        <v>220000</v>
      </c>
      <c r="H9" s="13" t="n">
        <f aca="false">H6*Assumptions!$B$7</f>
        <v>272000</v>
      </c>
      <c r="I9" s="13" t="n">
        <f aca="false">I6*Assumptions!$B$7</f>
        <v>304000</v>
      </c>
      <c r="J9" s="13" t="n">
        <f aca="false">J6*Assumptions!$B$7</f>
        <v>328000</v>
      </c>
      <c r="K9" s="13" t="n">
        <f aca="false">K6*Assumptions!$B$7</f>
        <v>348000</v>
      </c>
      <c r="L9" s="10" t="n">
        <f aca="false">SUM(B9:K9)</f>
        <v>1800000</v>
      </c>
    </row>
    <row r="10" customFormat="false" ht="15" hidden="false" customHeight="false" outlineLevel="0" collapsed="false">
      <c r="A10" s="3" t="s">
        <v>37</v>
      </c>
      <c r="B10" s="14" t="n">
        <f aca="false">B8+B9</f>
        <v>0</v>
      </c>
      <c r="C10" s="14" t="n">
        <f aca="false">C8+C9</f>
        <v>133000</v>
      </c>
      <c r="D10" s="14" t="n">
        <f aca="false">D8+D9</f>
        <v>418000</v>
      </c>
      <c r="E10" s="14" t="n">
        <f aca="false">E8+E9</f>
        <v>901500</v>
      </c>
      <c r="F10" s="14" t="n">
        <f aca="false">F8+F9</f>
        <v>1433000</v>
      </c>
      <c r="G10" s="14" t="n">
        <f aca="false">G8+G9</f>
        <v>1925000</v>
      </c>
      <c r="H10" s="14" t="n">
        <f aca="false">H8+H9</f>
        <v>2362000</v>
      </c>
      <c r="I10" s="14" t="n">
        <f aca="false">I8+I9</f>
        <v>2724000</v>
      </c>
      <c r="J10" s="14" t="n">
        <f aca="false">J8+J9</f>
        <v>3023000</v>
      </c>
      <c r="K10" s="14" t="n">
        <f aca="false">K8+K9</f>
        <v>3263000</v>
      </c>
      <c r="L10" s="10" t="n">
        <f aca="false">SUM(B10:K10)</f>
        <v>16182500</v>
      </c>
    </row>
    <row r="11" customFormat="false" ht="15" hidden="false" customHeight="false" outlineLevel="0" collapsed="false">
      <c r="A11" s="12" t="s">
        <v>38</v>
      </c>
      <c r="B11" s="13" t="s">
        <v>39</v>
      </c>
      <c r="C11" s="13" t="n">
        <f aca="false">Assumptions!$B$10</f>
        <v>150000</v>
      </c>
      <c r="D11" s="13" t="n">
        <f aca="false">Assumptions!$B$11</f>
        <v>350000</v>
      </c>
      <c r="E11" s="13" t="n">
        <f aca="false">Assumptions!$B$12</f>
        <v>600000</v>
      </c>
      <c r="F11" s="13" t="n">
        <f aca="false">Assumptions!$B$12</f>
        <v>600000</v>
      </c>
      <c r="G11" s="13" t="n">
        <f aca="false">Assumptions!$B$12</f>
        <v>600000</v>
      </c>
      <c r="H11" s="13" t="n">
        <f aca="false">Assumptions!$B$12</f>
        <v>600000</v>
      </c>
      <c r="I11" s="13" t="n">
        <f aca="false">Assumptions!$B$12</f>
        <v>600000</v>
      </c>
      <c r="J11" s="13" t="n">
        <f aca="false">Assumptions!$B$12</f>
        <v>600000</v>
      </c>
      <c r="K11" s="13" t="n">
        <f aca="false">Assumptions!$B$12</f>
        <v>600000</v>
      </c>
    </row>
    <row r="12" customFormat="false" ht="15" hidden="false" customHeight="false" outlineLevel="0" collapsed="false">
      <c r="A12" s="3" t="s">
        <v>40</v>
      </c>
      <c r="B12" s="15" t="n">
        <f aca="false">MAX(B10,B11)</f>
        <v>0</v>
      </c>
      <c r="C12" s="15" t="n">
        <f aca="false">MAX(C10,C11)</f>
        <v>150000</v>
      </c>
      <c r="D12" s="15" t="n">
        <f aca="false">MAX(D10,D11)</f>
        <v>418000</v>
      </c>
      <c r="E12" s="15" t="n">
        <f aca="false">MAX(E10,E11)</f>
        <v>901500</v>
      </c>
      <c r="F12" s="15" t="n">
        <f aca="false">MAX(F10,F11)</f>
        <v>1433000</v>
      </c>
      <c r="G12" s="15" t="n">
        <f aca="false">MAX(G10,G11)</f>
        <v>1925000</v>
      </c>
      <c r="H12" s="15" t="n">
        <f aca="false">MAX(H10,H11)</f>
        <v>2362000</v>
      </c>
      <c r="I12" s="15" t="n">
        <f aca="false">MAX(I10,I11)</f>
        <v>2724000</v>
      </c>
      <c r="J12" s="15" t="n">
        <f aca="false">MAX(J10,J11)</f>
        <v>3023000</v>
      </c>
      <c r="K12" s="15" t="n">
        <f aca="false">MAX(K10,K11)</f>
        <v>3263000</v>
      </c>
      <c r="L12" s="10" t="n">
        <f aca="false">SUM(B12:K12)</f>
        <v>16199500</v>
      </c>
    </row>
    <row r="13" customFormat="false" ht="15" hidden="false" customHeight="false" outlineLevel="0" collapsed="false">
      <c r="A13" s="12" t="s">
        <v>41</v>
      </c>
      <c r="B13" s="14" t="n">
        <f aca="false">B12</f>
        <v>0</v>
      </c>
      <c r="C13" s="14" t="n">
        <f aca="false">B13+C12</f>
        <v>150000</v>
      </c>
      <c r="D13" s="14" t="n">
        <f aca="false">C13+D12</f>
        <v>568000</v>
      </c>
      <c r="E13" s="14" t="n">
        <f aca="false">D13+E12</f>
        <v>1469500</v>
      </c>
      <c r="F13" s="14" t="n">
        <f aca="false">E13+F12</f>
        <v>2902500</v>
      </c>
      <c r="G13" s="14" t="n">
        <f aca="false">F13+G12</f>
        <v>4827500</v>
      </c>
      <c r="H13" s="14" t="n">
        <f aca="false">G13+H12</f>
        <v>7189500</v>
      </c>
      <c r="I13" s="14" t="n">
        <f aca="false">H13+I12</f>
        <v>9913500</v>
      </c>
      <c r="J13" s="14" t="n">
        <f aca="false">I13+J12</f>
        <v>12936500</v>
      </c>
      <c r="K13" s="14" t="n">
        <f aca="false">J13+K12</f>
        <v>16199500</v>
      </c>
    </row>
    <row r="14" customFormat="false" ht="15" hidden="false" customHeight="false" outlineLevel="0" collapsed="false">
      <c r="A14" s="12" t="s">
        <v>42</v>
      </c>
      <c r="B14" s="16" t="n">
        <f aca="false">IF(B7=0,0,B12/B7)</f>
        <v>0</v>
      </c>
      <c r="C14" s="16" t="n">
        <f aca="false">IF(C7=0,0,C12/C7)</f>
        <v>0.06</v>
      </c>
      <c r="D14" s="16" t="n">
        <f aca="false">IF(D7=0,0,D12/D7)</f>
        <v>0.0529113924050633</v>
      </c>
      <c r="E14" s="16" t="n">
        <f aca="false">IF(E7=0,0,E12/E7)</f>
        <v>0.052719298245614</v>
      </c>
      <c r="F14" s="16" t="n">
        <f aca="false">IF(F7=0,0,F12/F7)</f>
        <v>0.0526838235294118</v>
      </c>
      <c r="G14" s="16" t="n">
        <f aca="false">IF(G7=0,0,G12/G7)</f>
        <v>0.0527397260273973</v>
      </c>
      <c r="H14" s="16" t="n">
        <f aca="false">IF(H7=0,0,H12/H7)</f>
        <v>0.0527232142857143</v>
      </c>
      <c r="I14" s="16" t="n">
        <f aca="false">IF(I7=0,0,I12/I7)</f>
        <v>0.0527906976744186</v>
      </c>
      <c r="J14" s="16" t="n">
        <f aca="false">IF(J7=0,0,J12/J7)</f>
        <v>0.0528496503496504</v>
      </c>
      <c r="K14" s="16" t="n">
        <f aca="false">IF(K7=0,0,K12/K7)</f>
        <v>0.0528849270664506</v>
      </c>
    </row>
    <row r="16" customFormat="false" ht="15" hidden="false" customHeight="false" outlineLevel="0" collapsed="false">
      <c r="A16" s="6" t="s">
        <v>43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26"/>
  </cols>
  <sheetData>
    <row r="1" customFormat="false" ht="24" hidden="false" customHeight="true" outlineLevel="0" collapsed="false">
      <c r="A1" s="1" t="s">
        <v>44</v>
      </c>
      <c r="B1" s="1"/>
      <c r="C1" s="1"/>
    </row>
    <row r="2" customFormat="false" ht="15" hidden="false" customHeight="false" outlineLevel="0" collapsed="false">
      <c r="A2" s="2" t="s">
        <v>45</v>
      </c>
      <c r="B2" s="2"/>
      <c r="C2" s="2"/>
    </row>
    <row r="4" customFormat="false" ht="15" hidden="false" customHeight="false" outlineLevel="0" collapsed="false">
      <c r="A4" s="17" t="s">
        <v>46</v>
      </c>
      <c r="B4" s="17" t="s">
        <v>47</v>
      </c>
      <c r="C4" s="17" t="s">
        <v>48</v>
      </c>
    </row>
    <row r="5" customFormat="false" ht="15" hidden="false" customHeight="false" outlineLevel="0" collapsed="false">
      <c r="A5" s="4" t="s">
        <v>3</v>
      </c>
      <c r="B5" s="13" t="n">
        <f aca="false">Assumptions!B5</f>
        <v>1750000</v>
      </c>
      <c r="C5" s="18" t="s">
        <v>4</v>
      </c>
    </row>
    <row r="6" customFormat="false" ht="15" hidden="false" customHeight="false" outlineLevel="0" collapsed="false">
      <c r="A6" s="4" t="s">
        <v>49</v>
      </c>
      <c r="B6" s="13" t="n">
        <f aca="false">Assumptions!B9</f>
        <v>4250000</v>
      </c>
      <c r="C6" s="18" t="s">
        <v>10</v>
      </c>
    </row>
    <row r="7" customFormat="false" ht="15" hidden="false" customHeight="false" outlineLevel="0" collapsed="false">
      <c r="A7" s="4" t="s">
        <v>50</v>
      </c>
      <c r="B7" s="13" t="n">
        <f aca="false">'Net Sales &amp; Royalty'!L12</f>
        <v>16199500</v>
      </c>
      <c r="C7" s="18" t="s">
        <v>51</v>
      </c>
    </row>
    <row r="8" customFormat="false" ht="15" hidden="false" customHeight="false" outlineLevel="0" collapsed="false">
      <c r="A8" s="19" t="s">
        <v>52</v>
      </c>
      <c r="B8" s="20" t="n">
        <f aca="false">SUM(B5:B7)</f>
        <v>22199500</v>
      </c>
      <c r="C8" s="21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2026-06-26T10:50:37Z</dcterms:created>
  <dc:creator>openpyxl</dc:creator>
  <dc:description/>
  <dc:language>en-US</dc:language>
  <cp:lastModifiedBy/>
  <dcterms:modified xsi:type="dcterms:W3CDTF">2026-06-26T10:50:37Z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