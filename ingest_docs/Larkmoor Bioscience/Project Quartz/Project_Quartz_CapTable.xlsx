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e-Money" sheetId="2" state="visible" r:id="rId4"/>
    <sheet name="Post-Money" sheetId="3" state="visible" r:id="rId5"/>
    <sheet name="Investor Allo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<sst xmlns="http://schemas.openxmlformats.org/spreadsheetml/2006/main" count="56" uniqueCount="42">
  <si>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Larkmoor Bioscience Limited — Project Quartz</t>
  </si>
  <si>
    <t xml:space="preserve">Series A capitalisation — key assumptions (inputs in blue)</t>
  </si>
  <si>
    <t xml:space="preserve">Pre-money valuation (fully diluted)</t>
  </si>
  <si>
    <t xml:space="preserve">Note: pre-money valuation is on a fully diluted basis including the enlarged option pool, established pre-money.</t>
  </si>
  <si>
    <t xml:space="preserve">New money (Series A)</t>
  </si>
  <si>
    <t xml:space="preserve">Post-money valuation</t>
  </si>
  <si>
    <t xml:space="preserve">Price per Series A Preferred Share</t>
  </si>
  <si>
    <t xml:space="preserve">New Series A shares issued</t>
  </si>
  <si>
    <t xml:space="preserve">Pre-money fully diluted shares</t>
  </si>
  <si>
    <t xml:space="preserve">Post-money fully diluted shares</t>
  </si>
  <si>
    <t xml:space="preserve">Option pool (post-money, % FD)</t>
  </si>
  <si>
    <t xml:space="preserve">Investor stake (post-money)</t>
  </si>
  <si>
    <t xml:space="preserve">Pre-Money Capitalisation (fully diluted)</t>
  </si>
  <si>
    <t xml:space="preserve">Shareholder / instrument</t>
  </si>
  <si>
    <t xml:space="preserve">Class</t>
  </si>
  <si>
    <t xml:space="preserve">Shares</t>
  </si>
  <si>
    <t xml:space="preserve">% FD</t>
  </si>
  <si>
    <t xml:space="preserve">Dr Alice Wren</t>
  </si>
  <si>
    <t xml:space="preserve">Ordinary</t>
  </si>
  <si>
    <t xml:space="preserve">Dr Sanjay Rao</t>
  </si>
  <si>
    <t xml:space="preserve">Angel &amp; seed holders (7)</t>
  </si>
  <si>
    <t xml:space="preserve">Option pool (unissued, enlarged)</t>
  </si>
  <si>
    <t xml:space="preserve">Options</t>
  </si>
  <si>
    <t xml:space="preserve">Total fully diluted (pre)</t>
  </si>
  <si>
    <t xml:space="preserve">Post-Money Capitalisation (fully diluted)</t>
  </si>
  <si>
    <t xml:space="preserve">Value (£)</t>
  </si>
  <si>
    <t xml:space="preserve">Option pool</t>
  </si>
  <si>
    <t xml:space="preserve">Ravensworth Ventures LLP</t>
  </si>
  <si>
    <t xml:space="preserve">Series A</t>
  </si>
  <si>
    <t xml:space="preserve">Aldridge Seed LP</t>
  </si>
  <si>
    <t xml:space="preserve">Total fully diluted (post)</t>
  </si>
  <si>
    <t xml:space="preserve">Check: total = post-money fully diluted shares</t>
  </si>
  <si>
    <t xml:space="preserve">Check: total value = post-money valuation</t>
  </si>
  <si>
    <t xml:space="preserve">Series A — Investor Allocation</t>
  </si>
  <si>
    <t xml:space="preserve">Investor</t>
  </si>
  <si>
    <t xml:space="preserve">Commitment (£)</t>
  </si>
  <si>
    <t xml:space="preserve">Series A shares</t>
  </si>
  <si>
    <t xml:space="preserve">% of round</t>
  </si>
  <si>
    <t xml:space="preserve">% FD (post)</t>
  </si>
  <si>
    <t xml:space="preserve">Ravensworth Ventures LLP (lead)</t>
  </si>
  <si>
    <t xml:space="preserve">Aldridge Seed LP (co-investor)</t>
  </si>
  <si>
    <t xml:space="preserve">Total round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</si>
</sst>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\£#,##0.00"/>
    <numFmt numFmtId="167" formatCode="#,##0;\(#,##0\);\-"/>
    <numFmt numFmtId="168" formatCode="0.00%;\(0.0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30000000</v>
      </c>
      <c r="D4" s="2" t="s">
        <v>3</v>
      </c>
    </row>
    <row r="5" customFormat="false" ht="15" hidden="false" customHeight="false" outlineLevel="0" collapsed="false">
      <c r="A5" s="3" t="s">
        <v>4</v>
      </c>
      <c r="B5" s="4" t="n">
        <v>10000000</v>
      </c>
    </row>
    <row r="6" customFormat="false" ht="15" hidden="false" customHeight="false" outlineLevel="0" collapsed="false">
      <c r="A6" s="3" t="s">
        <v>5</v>
      </c>
      <c r="B6" s="5" t="n">
        <f aca="false">B4+B5</f>
        <v>40000000</v>
      </c>
    </row>
    <row r="7" customFormat="false" ht="15" hidden="false" customHeight="false" outlineLevel="0" collapsed="false">
      <c r="A7" s="3" t="s">
        <v>6</v>
      </c>
      <c r="B7" s="6" t="n">
        <v>10</v>
      </c>
    </row>
    <row r="8" customFormat="false" ht="15" hidden="false" customHeight="false" outlineLevel="0" collapsed="false">
      <c r="A8" s="3" t="s">
        <v>7</v>
      </c>
      <c r="B8" s="7" t="n">
        <f aca="false">B5/B7</f>
        <v>1000000</v>
      </c>
    </row>
    <row r="9" customFormat="false" ht="15" hidden="false" customHeight="false" outlineLevel="0" collapsed="false">
      <c r="A9" s="3" t="s">
        <v>8</v>
      </c>
      <c r="B9" s="8" t="n">
        <v>3000000</v>
      </c>
    </row>
    <row r="10" customFormat="false" ht="15" hidden="false" customHeight="false" outlineLevel="0" collapsed="false">
      <c r="A10" s="3" t="s">
        <v>9</v>
      </c>
      <c r="B10" s="7" t="n">
        <f aca="false">B9+B8</f>
        <v>4000000</v>
      </c>
    </row>
    <row r="11" customFormat="false" ht="15" hidden="false" customHeight="false" outlineLevel="0" collapsed="false">
      <c r="A11" s="3" t="s">
        <v>10</v>
      </c>
      <c r="B11" s="9" t="n">
        <v>0.125</v>
      </c>
    </row>
    <row r="12" customFormat="false" ht="15" hidden="false" customHeight="false" outlineLevel="0" collapsed="false">
      <c r="A12" s="3" t="s">
        <v>11</v>
      </c>
      <c r="B12" s="10" t="n">
        <f aca="false">B8/B10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11" t="s">
        <v>13</v>
      </c>
      <c r="B3" s="12" t="s">
        <v>14</v>
      </c>
      <c r="C3" s="12" t="s">
        <v>15</v>
      </c>
      <c r="D3" s="12" t="s">
        <v>16</v>
      </c>
    </row>
    <row r="4" customFormat="false" ht="15" hidden="false" customHeight="false" outlineLevel="0" collapsed="false">
      <c r="A4" s="13" t="s">
        <v>17</v>
      </c>
      <c r="B4" s="13" t="s">
        <v>18</v>
      </c>
      <c r="C4" s="8" t="n">
        <v>1250000</v>
      </c>
      <c r="D4" s="10" t="n">
        <f aca="false">C4/$C$8</f>
        <v>0.416666666666667</v>
      </c>
    </row>
    <row r="5" customFormat="false" ht="15" hidden="false" customHeight="false" outlineLevel="0" collapsed="false">
      <c r="A5" s="13" t="s">
        <v>19</v>
      </c>
      <c r="B5" s="13" t="s">
        <v>18</v>
      </c>
      <c r="C5" s="8" t="n">
        <v>950000</v>
      </c>
      <c r="D5" s="10" t="n">
        <f aca="false">C5/$C$8</f>
        <v>0.316666666666667</v>
      </c>
    </row>
    <row r="6" customFormat="false" ht="15" hidden="false" customHeight="false" outlineLevel="0" collapsed="false">
      <c r="A6" s="13" t="s">
        <v>20</v>
      </c>
      <c r="B6" s="13" t="s">
        <v>18</v>
      </c>
      <c r="C6" s="8" t="n">
        <v>300000</v>
      </c>
      <c r="D6" s="10" t="n">
        <f aca="false">C6/$C$8</f>
        <v>0.1</v>
      </c>
    </row>
    <row r="7" customFormat="false" ht="15" hidden="false" customHeight="false" outlineLevel="0" collapsed="false">
      <c r="A7" s="13" t="s">
        <v>21</v>
      </c>
      <c r="B7" s="13" t="s">
        <v>22</v>
      </c>
      <c r="C7" s="8" t="n">
        <v>500000</v>
      </c>
      <c r="D7" s="10" t="n">
        <f aca="false">C7/$C$8</f>
        <v>0.166666666666667</v>
      </c>
    </row>
    <row r="8" customFormat="false" ht="15" hidden="false" customHeight="false" outlineLevel="0" collapsed="false">
      <c r="A8" s="14" t="s">
        <v>23</v>
      </c>
      <c r="B8" s="15"/>
      <c r="C8" s="16" t="n">
        <f aca="false">SUM(C4:C7)</f>
        <v>3000000</v>
      </c>
      <c r="D8" s="17" t="n">
        <f aca="false">SUM(D4:D7)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11" t="s">
        <v>13</v>
      </c>
      <c r="B3" s="12" t="s">
        <v>14</v>
      </c>
      <c r="C3" s="12" t="s">
        <v>15</v>
      </c>
      <c r="D3" s="12" t="s">
        <v>16</v>
      </c>
      <c r="E3" s="12" t="s">
        <v>25</v>
      </c>
    </row>
    <row r="4" customFormat="false" ht="15" hidden="false" customHeight="false" outlineLevel="0" collapsed="false">
      <c r="A4" s="13" t="s">
        <v>17</v>
      </c>
      <c r="B4" s="13" t="s">
        <v>18</v>
      </c>
      <c r="C4" s="8" t="n">
        <v>1250000</v>
      </c>
      <c r="D4" s="18" t="n">
        <f aca="false">C4/$C$10</f>
        <v>0.3125</v>
      </c>
      <c r="E4" s="19" t="n">
        <f aca="false">C4*Assumptions!$B$7</f>
        <v>12500000</v>
      </c>
    </row>
    <row r="5" customFormat="false" ht="15" hidden="false" customHeight="false" outlineLevel="0" collapsed="false">
      <c r="A5" s="13" t="s">
        <v>19</v>
      </c>
      <c r="B5" s="13" t="s">
        <v>18</v>
      </c>
      <c r="C5" s="8" t="n">
        <v>950000</v>
      </c>
      <c r="D5" s="18" t="n">
        <f aca="false">C5/$C$10</f>
        <v>0.2375</v>
      </c>
      <c r="E5" s="19" t="n">
        <f aca="false">C5*Assumptions!$B$7</f>
        <v>9500000</v>
      </c>
    </row>
    <row r="6" customFormat="false" ht="15" hidden="false" customHeight="false" outlineLevel="0" collapsed="false">
      <c r="A6" s="13" t="s">
        <v>20</v>
      </c>
      <c r="B6" s="13" t="s">
        <v>18</v>
      </c>
      <c r="C6" s="8" t="n">
        <v>300000</v>
      </c>
      <c r="D6" s="18" t="n">
        <f aca="false">C6/$C$10</f>
        <v>0.075</v>
      </c>
      <c r="E6" s="19" t="n">
        <f aca="false">C6*Assumptions!$B$7</f>
        <v>3000000</v>
      </c>
    </row>
    <row r="7" customFormat="false" ht="15" hidden="false" customHeight="false" outlineLevel="0" collapsed="false">
      <c r="A7" s="13" t="s">
        <v>26</v>
      </c>
      <c r="B7" s="13" t="s">
        <v>22</v>
      </c>
      <c r="C7" s="8" t="n">
        <v>500000</v>
      </c>
      <c r="D7" s="18" t="n">
        <f aca="false">C7/$C$10</f>
        <v>0.125</v>
      </c>
      <c r="E7" s="19" t="n">
        <f aca="false">C7*Assumptions!$B$7</f>
        <v>5000000</v>
      </c>
    </row>
    <row r="8" customFormat="false" ht="15" hidden="false" customHeight="false" outlineLevel="0" collapsed="false">
      <c r="A8" s="13" t="s">
        <v>27</v>
      </c>
      <c r="B8" s="13" t="s">
        <v>28</v>
      </c>
      <c r="C8" s="8" t="n">
        <v>800000</v>
      </c>
      <c r="D8" s="18" t="n">
        <f aca="false">C8/$C$10</f>
        <v>0.2</v>
      </c>
      <c r="E8" s="19" t="n">
        <f aca="false">C8*Assumptions!$B$7</f>
        <v>8000000</v>
      </c>
    </row>
    <row r="9" customFormat="false" ht="15" hidden="false" customHeight="false" outlineLevel="0" collapsed="false">
      <c r="A9" s="13" t="s">
        <v>29</v>
      </c>
      <c r="B9" s="13" t="s">
        <v>28</v>
      </c>
      <c r="C9" s="8" t="n">
        <v>200000</v>
      </c>
      <c r="D9" s="18" t="n">
        <f aca="false">C9/$C$10</f>
        <v>0.05</v>
      </c>
      <c r="E9" s="19" t="n">
        <f aca="false">C9*Assumptions!$B$7</f>
        <v>2000000</v>
      </c>
    </row>
    <row r="10" customFormat="false" ht="15" hidden="false" customHeight="false" outlineLevel="0" collapsed="false">
      <c r="A10" s="14" t="s">
        <v>30</v>
      </c>
      <c r="B10" s="15"/>
      <c r="C10" s="16" t="n">
        <f aca="false">SUM(C4:C9)</f>
        <v>4000000</v>
      </c>
      <c r="D10" s="17" t="n">
        <f aca="false">SUM(D4:D9)</f>
        <v>1</v>
      </c>
      <c r="E10" s="20" t="n">
        <f aca="false">SUM(E4:E9)</f>
        <v>40000000</v>
      </c>
    </row>
    <row r="12" customFormat="false" ht="15" hidden="false" customHeight="false" outlineLevel="0" collapsed="false">
      <c r="A12" s="2" t="s">
        <v>31</v>
      </c>
      <c r="C12" s="21" t="n">
        <f aca="false">C10-Assumptions!B10</f>
        <v>0</v>
      </c>
    </row>
    <row r="13" customFormat="false" ht="15" hidden="false" customHeight="false" outlineLevel="0" collapsed="false">
      <c r="A13" s="2" t="s">
        <v>32</v>
      </c>
      <c r="E13" s="22" t="n">
        <f aca="false">E10-Assumptions!B6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11" t="s">
        <v>34</v>
      </c>
      <c r="B3" s="12" t="s">
        <v>35</v>
      </c>
      <c r="C3" s="12" t="s">
        <v>36</v>
      </c>
      <c r="D3" s="12" t="s">
        <v>37</v>
      </c>
      <c r="E3" s="12" t="s">
        <v>38</v>
      </c>
    </row>
    <row r="4" customFormat="false" ht="15" hidden="false" customHeight="false" outlineLevel="0" collapsed="false">
      <c r="A4" s="13" t="s">
        <v>39</v>
      </c>
      <c r="B4" s="4" t="n">
        <v>8000000</v>
      </c>
      <c r="C4" s="23" t="n">
        <f aca="false">B4/Assumptions!$B$7</f>
        <v>800000</v>
      </c>
      <c r="D4" s="18" t="n">
        <f aca="false">B4/$B$6</f>
        <v>0.8</v>
      </c>
      <c r="E4" s="18" t="n">
        <f aca="false">C4/Assumptions!$B$10</f>
        <v>0.2</v>
      </c>
    </row>
    <row r="5" customFormat="false" ht="15" hidden="false" customHeight="false" outlineLevel="0" collapsed="false">
      <c r="A5" s="13" t="s">
        <v>40</v>
      </c>
      <c r="B5" s="4" t="n">
        <v>2000000</v>
      </c>
      <c r="C5" s="23" t="n">
        <f aca="false">B5/Assumptions!$B$7</f>
        <v>200000</v>
      </c>
      <c r="D5" s="18" t="n">
        <f aca="false">B5/$B$6</f>
        <v>0.2</v>
      </c>
      <c r="E5" s="18" t="n">
        <f aca="false">C5/Assumptions!$B$10</f>
        <v>0.05</v>
      </c>
    </row>
    <row r="6" customFormat="false" ht="15" hidden="false" customHeight="false" outlineLevel="0" collapsed="false">
      <c r="A6" s="14" t="s">
        <v>41</v>
      </c>
      <c r="B6" s="20" t="n">
        <f aca="false">SUM(B4:B5)</f>
        <v>10000000</v>
      </c>
      <c r="C6" s="16" t="n">
        <f aca="false">SUM(C4:C5)</f>
        <v>1000000</v>
      </c>
      <c r="D6" s="17" t="n">
        <f aca="false">SUM(D4:D5)</f>
        <v>1</v>
      </c>
      <c r="E6" s="17" t="n">
        <f aca="false">SUM(E4:E5)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2026-06-26T01:30:54Z</dcterms:created>
  <dc:creator>openpyxl</dc:creator>
  <dc:description/>
  <dc:language>en-US</dc:language>
  <cp:lastModifiedBy/>
  <dcterms:modified xsi:type="dcterms:W3CDTF">2026-06-26T01:30:54Z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