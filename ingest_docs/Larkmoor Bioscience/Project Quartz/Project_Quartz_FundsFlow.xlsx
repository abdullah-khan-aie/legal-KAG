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<sst xmlns="http://schemas.openxmlformats.org/spreadsheetml/2006/main" count="25" uniqueCount="25">
  <si>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Larkmoor Bioscience Limited — Project Quartz</t>
  </si>
  <si>
    <t xml:space="preserve">Completion funds flow statement — 8 May 2026 (all amounts in GBP). Inputs in blue.</t>
  </si>
  <si>
    <t xml:space="preserve">SOURCES</t>
  </si>
  <si>
    <t xml:space="preserve">Ravensworth Ventures LLP — subscription</t>
  </si>
  <si>
    <t xml:space="preserve">Aldridge Seed LP — subscription</t>
  </si>
  <si>
    <t xml:space="preserve">Total sources</t>
  </si>
  <si>
    <t xml:space="preserve">USES</t>
  </si>
  <si>
    <t xml:space="preserve">Whitfield Carter LLP — Company legal fees (incl. VAT)</t>
  </si>
  <si>
    <t xml:space="preserve">Hargrove &amp; Associates LLP — Lead Investor legal costs (capped, incl. VAT)</t>
  </si>
  <si>
    <t xml:space="preserve">Marlow Tax &amp; Advisory Ltd — financial &amp; tax DD (incl. VAT)</t>
  </si>
  <si>
    <t xml:space="preserve">Companies House filing fees</t>
  </si>
  <si>
    <t xml:space="preserve">Verification / AML &amp; disbursements</t>
  </si>
  <si>
    <t xml:space="preserve">Total transaction costs</t>
  </si>
  <si>
    <t xml:space="preserve">Net subscription proceeds to the Company</t>
  </si>
  <si>
    <t xml:space="preserve">Check: total uses (costs + net proceeds) = total sources</t>
  </si>
  <si>
    <t xml:space="preserve">SETTLEMENT — payment instructions</t>
  </si>
  <si>
    <t xml:space="preserve">Payee</t>
  </si>
  <si>
    <t xml:space="preserve">Reference</t>
  </si>
  <si>
    <t xml:space="preserve">Amount (£)</t>
  </si>
  <si>
    <t xml:space="preserve">Whitfield Carter LLP client account (re Quartz)</t>
  </si>
  <si>
    <t xml:space="preserve">QUARTZ/WC-00134</t>
  </si>
  <si>
    <t xml:space="preserve">Hargrove &amp; Associates LLP client account</t>
  </si>
  <si>
    <t xml:space="preserve">RAV/QUARTZ</t>
  </si>
  <si>
    <t xml:space="preserve">Larkmoor Bioscience Limited operating account</t>
  </si>
  <si>
    <t xml:space="preserve">Net proceeds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</si>
</sst>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;&quot;(£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EC"/>
        <bgColor rgb="FFC6E0B4"/>
      </patternFill>
    </fill>
    <fill>
      <patternFill patternType="solid">
        <fgColor rgb="FFC6E0B4"/>
        <bgColor rgb="FFD9E2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v>8000000</v>
      </c>
    </row>
    <row r="6" customFormat="false" ht="15" hidden="false" customHeight="false" outlineLevel="0" collapsed="false">
      <c r="A6" s="5" t="s">
        <v>4</v>
      </c>
      <c r="B6" s="6" t="n">
        <v>2000000</v>
      </c>
    </row>
    <row r="7" customFormat="false" ht="15" hidden="false" customHeight="false" outlineLevel="0" collapsed="false">
      <c r="A7" s="7" t="s">
        <v>5</v>
      </c>
      <c r="B7" s="8" t="n">
        <f aca="false">SUM(B5:B6)</f>
        <v>10000000</v>
      </c>
    </row>
    <row r="9" customFormat="false" ht="15" hidden="false" customHeight="false" outlineLevel="0" collapsed="false">
      <c r="A9" s="3" t="s">
        <v>6</v>
      </c>
      <c r="B9" s="4"/>
    </row>
    <row r="10" customFormat="false" ht="15" hidden="false" customHeight="false" outlineLevel="0" collapsed="false">
      <c r="A10" s="5" t="s">
        <v>7</v>
      </c>
      <c r="B10" s="6" t="n">
        <v>96000</v>
      </c>
    </row>
    <row r="11" customFormat="false" ht="15" hidden="false" customHeight="false" outlineLevel="0" collapsed="false">
      <c r="A11" s="5" t="s">
        <v>8</v>
      </c>
      <c r="B11" s="6" t="n">
        <v>36000</v>
      </c>
    </row>
    <row r="12" customFormat="false" ht="15" hidden="false" customHeight="false" outlineLevel="0" collapsed="false">
      <c r="A12" s="5" t="s">
        <v>9</v>
      </c>
      <c r="B12" s="6" t="n">
        <v>7200</v>
      </c>
    </row>
    <row r="13" customFormat="false" ht="15" hidden="false" customHeight="false" outlineLevel="0" collapsed="false">
      <c r="A13" s="5" t="s">
        <v>10</v>
      </c>
      <c r="B13" s="6" t="n">
        <v>80</v>
      </c>
    </row>
    <row r="14" customFormat="false" ht="15" hidden="false" customHeight="false" outlineLevel="0" collapsed="false">
      <c r="A14" s="5" t="s">
        <v>11</v>
      </c>
      <c r="B14" s="6" t="n">
        <v>2800</v>
      </c>
    </row>
    <row r="15" customFormat="false" ht="15" hidden="false" customHeight="false" outlineLevel="0" collapsed="false">
      <c r="A15" s="7" t="s">
        <v>12</v>
      </c>
      <c r="B15" s="8" t="n">
        <f aca="false">SUM(B10:B14)</f>
        <v>142080</v>
      </c>
    </row>
    <row r="16" customFormat="false" ht="15" hidden="false" customHeight="false" outlineLevel="0" collapsed="false">
      <c r="A16" s="9" t="s">
        <v>13</v>
      </c>
      <c r="B16" s="10" t="n">
        <f aca="false">B7-B15</f>
        <v>9857920</v>
      </c>
    </row>
    <row r="18" customFormat="false" ht="15" hidden="false" customHeight="false" outlineLevel="0" collapsed="false">
      <c r="A18" s="2" t="s">
        <v>14</v>
      </c>
      <c r="B18" s="11" t="n">
        <f aca="false">(B15+B16)-B7</f>
        <v>0</v>
      </c>
    </row>
    <row r="20" customFormat="false" ht="15" hidden="false" customHeight="false" outlineLevel="0" collapsed="false">
      <c r="A20" s="3" t="s">
        <v>15</v>
      </c>
      <c r="B20" s="4"/>
      <c r="C20" s="4"/>
    </row>
    <row r="21" customFormat="false" ht="15" hidden="false" customHeight="false" outlineLevel="0" collapsed="false">
      <c r="A21" s="7" t="s">
        <v>16</v>
      </c>
      <c r="B21" s="7" t="s">
        <v>17</v>
      </c>
      <c r="C21" s="7" t="s">
        <v>18</v>
      </c>
    </row>
    <row r="22" customFormat="false" ht="15" hidden="false" customHeight="false" outlineLevel="0" collapsed="false">
      <c r="A22" s="5" t="s">
        <v>19</v>
      </c>
      <c r="B22" s="5" t="s">
        <v>20</v>
      </c>
      <c r="C22" s="12" t="n">
        <f aca="false">B10</f>
        <v>96000</v>
      </c>
    </row>
    <row r="23" customFormat="false" ht="15" hidden="false" customHeight="false" outlineLevel="0" collapsed="false">
      <c r="A23" s="5" t="s">
        <v>21</v>
      </c>
      <c r="B23" s="5" t="s">
        <v>22</v>
      </c>
      <c r="C23" s="12" t="n">
        <f aca="false">B11</f>
        <v>36000</v>
      </c>
    </row>
    <row r="24" customFormat="false" ht="15" hidden="false" customHeight="false" outlineLevel="0" collapsed="false">
      <c r="A24" s="5" t="s">
        <v>23</v>
      </c>
      <c r="B24" s="5" t="s">
        <v>24</v>
      </c>
      <c r="C24" s="12" t="n">
        <f aca="false">B16</f>
        <v>9857920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2026-06-26T01:30:55Z</dcterms:created>
  <dc:creator>openpyxl</dc:creator>
  <dc:description/>
  <dc:language>en-US</dc:language>
  <cp:lastModifiedBy/>
  <dcterms:modified xsi:type="dcterms:W3CDTF">2026-06-26T01:30:55Z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