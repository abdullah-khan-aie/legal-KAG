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anc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b val="1"/>
      <color rgb="001F3864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3" fontId="4" fillId="0" borderId="1" pivotButton="0" quotePrefix="0" xfId="0"/>
    <xf numFmtId="0" fontId="6" fillId="0" borderId="0" pivotButton="0" quotePrefix="0" xfId="0"/>
    <xf numFmtId="3" fontId="5" fillId="0" borderId="1" pivotButton="0" quotePrefix="0" xfId="0"/>
    <xf numFmtId="2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9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12" customWidth="1" min="10" max="10"/>
    <col width="9" customWidth="1" min="11" max="11"/>
    <col width="14" customWidth="1" min="12" max="12"/>
  </cols>
  <sheetData>
    <row r="1">
      <c r="A1" s="1" t="inlineStr">
        <is>
          <t>PROJECT REDWOOD — TENANCY SCHEDULE</t>
        </is>
      </c>
    </row>
    <row r="2">
      <c r="A2" s="2" t="inlineStr">
        <is>
          <t>Redwood House, 14 Aldersgate Street, London EC1A 4HD  |  Title NGL742118  |  As at 6 March 2026</t>
        </is>
      </c>
    </row>
    <row r="4">
      <c r="A4" s="3" t="inlineStr">
        <is>
          <t>Unit / demise</t>
        </is>
      </c>
      <c r="B4" s="3" t="inlineStr">
        <is>
          <t>Tenant</t>
        </is>
      </c>
      <c r="C4" s="3" t="inlineStr">
        <is>
          <t>Lease start</t>
        </is>
      </c>
      <c r="D4" s="3" t="inlineStr">
        <is>
          <t>Term (yrs)</t>
        </is>
      </c>
      <c r="E4" s="3" t="inlineStr">
        <is>
          <t>Expiry</t>
        </is>
      </c>
      <c r="F4" s="3" t="inlineStr">
        <is>
          <t>Next review</t>
        </is>
      </c>
      <c r="G4" s="3" t="inlineStr">
        <is>
          <t>Break</t>
        </is>
      </c>
      <c r="H4" s="3" t="inlineStr">
        <is>
          <t>Passing rent (£ p.a.)</t>
        </is>
      </c>
      <c r="I4" s="3" t="inlineStr">
        <is>
          <t>Area (sq ft)</t>
        </is>
      </c>
      <c r="J4" s="3" t="inlineStr">
        <is>
          <t>Rent (£/sq ft)</t>
        </is>
      </c>
      <c r="K4" s="3" t="inlineStr">
        <is>
          <t>1954 Act</t>
        </is>
      </c>
      <c r="L4" s="3" t="inlineStr">
        <is>
          <t>Rent deposit (£)</t>
        </is>
      </c>
    </row>
    <row r="5">
      <c r="A5" s="4" t="inlineStr">
        <is>
          <t>Floors 3–5</t>
        </is>
      </c>
      <c r="B5" s="4" t="inlineStr">
        <is>
          <t>Mercer Wells LLP</t>
        </is>
      </c>
      <c r="C5" s="5" t="inlineStr">
        <is>
          <t>25/03/2019</t>
        </is>
      </c>
      <c r="D5" s="5" t="n">
        <v>15</v>
      </c>
      <c r="E5" s="5" t="inlineStr">
        <is>
          <t>24/03/2034</t>
        </is>
      </c>
      <c r="F5" s="5" t="inlineStr">
        <is>
          <t>25/03/2024 (o/s)</t>
        </is>
      </c>
      <c r="G5" s="5" t="inlineStr">
        <is>
          <t>—</t>
        </is>
      </c>
      <c r="H5" s="6" t="n">
        <v>720000</v>
      </c>
      <c r="I5" s="6" t="n">
        <v>16000</v>
      </c>
      <c r="J5" s="7">
        <f>ROUND(H5/I5,2)</f>
        <v/>
      </c>
      <c r="K5" s="5" t="inlineStr">
        <is>
          <t>Yes</t>
        </is>
      </c>
      <c r="L5" s="6" t="n">
        <v>180000</v>
      </c>
    </row>
    <row r="6">
      <c r="A6" s="4" t="inlineStr">
        <is>
          <t>Floors 1–2</t>
        </is>
      </c>
      <c r="B6" s="4" t="inlineStr">
        <is>
          <t>Aldgate Print Co Limited</t>
        </is>
      </c>
      <c r="C6" s="5" t="inlineStr">
        <is>
          <t>01/10/2020</t>
        </is>
      </c>
      <c r="D6" s="5" t="n">
        <v>10</v>
      </c>
      <c r="E6" s="5" t="inlineStr">
        <is>
          <t>30/09/2030</t>
        </is>
      </c>
      <c r="F6" s="5" t="inlineStr">
        <is>
          <t>01/10/2025</t>
        </is>
      </c>
      <c r="G6" s="5" t="inlineStr">
        <is>
          <t>01/10/2027</t>
        </is>
      </c>
      <c r="H6" s="6" t="n">
        <v>465000</v>
      </c>
      <c r="I6" s="6" t="n">
        <v>11000</v>
      </c>
      <c r="J6" s="7">
        <f>ROUND(H6/I6,2)</f>
        <v/>
      </c>
      <c r="K6" s="5" t="inlineStr">
        <is>
          <t>Yes</t>
        </is>
      </c>
      <c r="L6" s="6" t="n">
        <v>0</v>
      </c>
    </row>
    <row r="7">
      <c r="A7" s="4" t="inlineStr">
        <is>
          <t>Ground retail</t>
        </is>
      </c>
      <c r="B7" s="4" t="inlineStr">
        <is>
          <t>Castelló Coffee Limited</t>
        </is>
      </c>
      <c r="C7" s="5" t="inlineStr">
        <is>
          <t>24/06/2022</t>
        </is>
      </c>
      <c r="D7" s="5" t="n">
        <v>10</v>
      </c>
      <c r="E7" s="5" t="inlineStr">
        <is>
          <t>23/06/2032</t>
        </is>
      </c>
      <c r="F7" s="5" t="inlineStr">
        <is>
          <t>24/06/2027 (RPI)</t>
        </is>
      </c>
      <c r="G7" s="5" t="inlineStr">
        <is>
          <t>—</t>
        </is>
      </c>
      <c r="H7" s="6" t="n">
        <v>142500</v>
      </c>
      <c r="I7" s="6" t="n">
        <v>2400</v>
      </c>
      <c r="J7" s="7">
        <f>ROUND(H7/I7,2)</f>
        <v/>
      </c>
      <c r="K7" s="5" t="inlineStr">
        <is>
          <t>No</t>
        </is>
      </c>
      <c r="L7" s="6" t="n">
        <v>0</v>
      </c>
    </row>
    <row r="8">
      <c r="A8" s="4" t="inlineStr">
        <is>
          <t>6th floor</t>
        </is>
      </c>
      <c r="B8" s="4" t="inlineStr">
        <is>
          <t>Fenwick Serviced Offices Ltd</t>
        </is>
      </c>
      <c r="C8" s="5" t="inlineStr">
        <is>
          <t>01/01/2024</t>
        </is>
      </c>
      <c r="D8" s="5" t="n">
        <v>5</v>
      </c>
      <c r="E8" s="5" t="inlineStr">
        <is>
          <t>31/12/2028</t>
        </is>
      </c>
      <c r="F8" s="5" t="inlineStr">
        <is>
          <t>—</t>
        </is>
      </c>
      <c r="G8" s="5" t="inlineStr">
        <is>
          <t>—</t>
        </is>
      </c>
      <c r="H8" s="6" t="n">
        <v>160000</v>
      </c>
      <c r="I8" s="6" t="n">
        <v>3600</v>
      </c>
      <c r="J8" s="7">
        <f>ROUND(H8/I8,2)</f>
        <v/>
      </c>
      <c r="K8" s="5" t="inlineStr">
        <is>
          <t>Yes</t>
        </is>
      </c>
      <c r="L8" s="6" t="n">
        <v>0</v>
      </c>
    </row>
    <row r="9">
      <c r="A9" s="8" t="inlineStr">
        <is>
          <t>TOTAL</t>
        </is>
      </c>
      <c r="B9" s="9" t="n"/>
      <c r="C9" s="9" t="n"/>
      <c r="D9" s="9" t="n"/>
      <c r="E9" s="9" t="n"/>
      <c r="F9" s="9" t="n"/>
      <c r="G9" s="9" t="n"/>
      <c r="H9" s="10">
        <f>SUM(H5:H8)</f>
        <v/>
      </c>
      <c r="I9" s="10">
        <f>SUM(I5:I8)</f>
        <v/>
      </c>
      <c r="J9" s="9" t="n"/>
      <c r="K9" s="9" t="n"/>
      <c r="L9" s="10">
        <f>SUM(L5:L8)</f>
        <v/>
      </c>
    </row>
    <row r="11">
      <c r="A11" s="11" t="inlineStr">
        <is>
          <t>VALUATION SUMMARY</t>
        </is>
      </c>
    </row>
    <row r="12">
      <c r="A12" s="8" t="inlineStr">
        <is>
          <t>Total passing rent (£ p.a.)</t>
        </is>
      </c>
      <c r="B12" s="12">
        <f>H9</f>
        <v/>
      </c>
    </row>
    <row r="13">
      <c r="A13" s="8" t="inlineStr">
        <is>
          <t>Purchase price (£)</t>
        </is>
      </c>
      <c r="B13" s="12" t="n">
        <v>21750000</v>
      </c>
    </row>
    <row r="14">
      <c r="A14" s="8" t="inlineStr">
        <is>
          <t>Purchaser's costs (6.8%)</t>
        </is>
      </c>
      <c r="B14" s="13">
        <f>ROUND(B13*0.068,0)</f>
        <v/>
      </c>
    </row>
    <row r="15">
      <c r="A15" s="8" t="inlineStr">
        <is>
          <t>Gross purchase outlay (£)</t>
        </is>
      </c>
      <c r="B15" s="12">
        <f>B13+B14</f>
        <v/>
      </c>
    </row>
    <row r="16">
      <c r="A16" s="8" t="inlineStr">
        <is>
          <t>Net initial yield (%)</t>
        </is>
      </c>
      <c r="B16" s="13">
        <f>ROUND(B12/B15*100,2)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2026-06-29T18:01:07Z</dcterms:created>
  <dcterms:modified xmlns:dcterms="http://purl.org/dc/terms/" xmlns:xsi="http://www.w3.org/2001/XMLSchema-instance" xsi:type="dcterms:W3CDTF">2026-06-29T18:01:07Z</dcterms:modified>
</cp:coreProperties>
</file>