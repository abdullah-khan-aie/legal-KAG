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sz val="9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sz val="11"/>
    </font>
    <font>
      <name val="Arial"/>
      <b val="1"/>
      <color rgb="001F3864"/>
    </font>
    <font>
      <name val="Arial"/>
      <sz val="11"/>
    </font>
    <font>
      <name val="Arial"/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3" fontId="6" fillId="3" borderId="1" applyAlignment="1" pivotButton="0" quotePrefix="0" xfId="0">
      <alignment horizontal="right"/>
    </xf>
    <xf numFmtId="0" fontId="0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3" fontId="8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46" customWidth="1" min="4" max="4"/>
  </cols>
  <sheetData>
    <row r="1">
      <c r="A1" s="1" t="inlineStr">
        <is>
          <t>PROJECT REDWOOD — COMPLETION STATEMENT</t>
        </is>
      </c>
    </row>
    <row r="2">
      <c r="A2" s="2" t="inlineStr">
        <is>
          <t>Purchase of Redwood House, 14 Aldersgate Street, London EC1A 4HD  |  Completion 15 May 2026</t>
        </is>
      </c>
    </row>
    <row r="3">
      <c r="A3" s="3" t="inlineStr">
        <is>
          <t>Buyer: Calderfield Redwood Propco Limited   Seller: Hartmoor Estates Limited   Ref: SW/jo/CAL-0185</t>
        </is>
      </c>
    </row>
    <row r="5">
      <c r="A5" s="4" t="inlineStr">
        <is>
          <t>Item</t>
        </is>
      </c>
      <c r="B5" s="4" t="inlineStr">
        <is>
          <t>Due to Seller (£)</t>
        </is>
      </c>
      <c r="C5" s="4" t="inlineStr">
        <is>
          <t>Due to Buyer (£)</t>
        </is>
      </c>
      <c r="D5" s="4" t="inlineStr">
        <is>
          <t>Note</t>
        </is>
      </c>
    </row>
    <row r="6">
      <c r="A6" s="5" t="inlineStr">
        <is>
          <t>Purchase price</t>
        </is>
      </c>
      <c r="B6" s="6" t="n">
        <v>21750000</v>
      </c>
      <c r="C6" s="6" t="n"/>
      <c r="D6" s="7" t="inlineStr">
        <is>
          <t>Per sale contract</t>
        </is>
      </c>
    </row>
    <row r="7">
      <c r="A7" s="5" t="inlineStr">
        <is>
          <t>Less: deposit paid on exchange (10%)</t>
        </is>
      </c>
      <c r="B7" s="6" t="n"/>
      <c r="C7" s="6" t="n">
        <v>2175000</v>
      </c>
      <c r="D7" s="7" t="inlineStr">
        <is>
          <t>Held by Pemberton Rowe as stakeholder</t>
        </is>
      </c>
    </row>
    <row r="8">
      <c r="A8" s="5" t="inlineStr">
        <is>
          <t>Apportionment of rent — paid in advance, credit to Buyer*</t>
        </is>
      </c>
      <c r="B8" s="6" t="n"/>
      <c r="C8" s="6" t="n">
        <v>161630</v>
      </c>
      <c r="D8" s="7" t="inlineStr">
        <is>
          <t>Qtr to 24/06; post-completion portion (15 May–23 Jun)</t>
        </is>
      </c>
    </row>
    <row r="9">
      <c r="A9" s="5" t="inlineStr">
        <is>
          <t>Apportionment of service charge — Buyer's period, due to Seller</t>
        </is>
      </c>
      <c r="B9" s="6" t="n">
        <v>7480</v>
      </c>
      <c r="C9" s="6" t="n"/>
      <c r="D9" s="7" t="inlineStr">
        <is>
          <t>Estimated, on account, 15 May–31 Dec</t>
        </is>
      </c>
    </row>
    <row r="10">
      <c r="A10" s="5" t="inlineStr">
        <is>
          <t>Less: rent deposit transferred to Buyer (Mercer Wells)</t>
        </is>
      </c>
      <c r="B10" s="6" t="n"/>
      <c r="C10" s="6" t="n">
        <v>180000</v>
      </c>
      <c r="D10" s="7" t="inlineStr">
        <is>
          <t>Per deed of assignment of rent deposit</t>
        </is>
      </c>
    </row>
    <row r="11">
      <c r="A11" s="5" t="inlineStr">
        <is>
          <t>Less: rent arrears retention (Aldgate Print Co — Q1)</t>
        </is>
      </c>
      <c r="B11" s="6" t="n"/>
      <c r="C11" s="6" t="n">
        <v>38750</v>
      </c>
      <c r="D11" s="7" t="inlineStr">
        <is>
          <t>Held pending recovery, released on payment</t>
        </is>
      </c>
    </row>
    <row r="12">
      <c r="A12" s="8" t="inlineStr">
        <is>
          <t>BALANCE DUE FROM BUYER ON COMPLETION</t>
        </is>
      </c>
      <c r="B12" s="9">
        <f>SUM(B6:B11)-SUM(C6:C11)</f>
        <v/>
      </c>
      <c r="C12" s="10" t="n"/>
      <c r="D12" s="10" t="n"/>
    </row>
    <row r="14">
      <c r="A14" s="11" t="inlineStr">
        <is>
          <t>SEPARATE LIABILITY — SDLT (paid by Buyer post-completion)</t>
        </is>
      </c>
    </row>
    <row r="15">
      <c r="A15" s="12" t="inlineStr">
        <is>
          <t>Chargeable consideration</t>
        </is>
      </c>
      <c r="B15" s="13" t="n">
        <v>21750000</v>
      </c>
    </row>
    <row r="16">
      <c r="A16" s="12" t="inlineStr">
        <is>
          <t>SDLT — 0% to £150,000</t>
        </is>
      </c>
      <c r="B16" s="13">
        <f>ROUND(MIN(B15,150000)*0,0)</f>
        <v/>
      </c>
    </row>
    <row r="17">
      <c r="A17" s="12" t="inlineStr">
        <is>
          <t>SDLT — 2% £150,001–£250,000</t>
        </is>
      </c>
      <c r="B17" s="13" t="n">
        <v>2000</v>
      </c>
    </row>
    <row r="18">
      <c r="A18" s="12" t="inlineStr">
        <is>
          <t>SDLT — 5% above £250,000</t>
        </is>
      </c>
      <c r="B18" s="13">
        <f>ROUND((B15-250000)*0.05,0)</f>
        <v/>
      </c>
    </row>
    <row r="19">
      <c r="A19" s="8" t="inlineStr">
        <is>
          <t>Total SDLT payable</t>
        </is>
      </c>
      <c r="B19" s="14">
        <f>B17+B18</f>
        <v/>
      </c>
    </row>
    <row r="20">
      <c r="A20" s="12" t="inlineStr">
        <is>
          <t>HM Land Registry fee (AP1)</t>
        </is>
      </c>
      <c r="B20" s="13" t="n">
        <v>1105</v>
      </c>
    </row>
    <row r="22">
      <c r="A22" s="15" t="inlineStr">
        <is>
          <t>* Rent paid quarterly in advance on 24/06; Seller has received the June quarter, so the post-completion portion (15–23 May plus 25 May–23 Jun) is credited to the Buyer through apportionment. Figures rounded to nearest 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2026-06-29T18:01:07Z</dcterms:created>
  <dcterms:modified xmlns:dcterms="http://purl.org/dc/terms/" xmlns:xsi="http://www.w3.org/2001/XMLSchema-instance" xsi:type="dcterms:W3CDTF">2026-06-29T18:01:07Z</dcterms:modified>
</cp:coreProperties>
</file>