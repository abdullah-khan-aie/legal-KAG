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ancy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<sst xmlns="http://schemas.openxmlformats.org/spreadsheetml/2006/main" count="41" uniqueCount="39">
  <si>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PROJECT ONYX — TENANCY SCHEDULE</t>
  </si>
  <si>
    <t xml:space="preserve">Onyx Point, Hartfield Distribution Park, Coventry CV3 4QR  •  Title WM448210  •  as at 24 February 2026</t>
  </si>
  <si>
    <t xml:space="preserve">Unit</t>
  </si>
  <si>
    <t xml:space="preserve">Tenant</t>
  </si>
  <si>
    <t xml:space="preserve">Area (sq ft)</t>
  </si>
  <si>
    <t xml:space="preserve">Lease start</t>
  </si>
  <si>
    <t xml:space="preserve">Lease expiry</t>
  </si>
  <si>
    <t xml:space="preserve">Next review</t>
  </si>
  <si>
    <t xml:space="preserve">Passing rent (£ pa)</t>
  </si>
  <si>
    <t xml:space="preserve">Rent (£/sq ft)</t>
  </si>
  <si>
    <t xml:space="preserve">Rent deposit (£)</t>
  </si>
  <si>
    <t xml:space="preserve">Break option</t>
  </si>
  <si>
    <t xml:space="preserve">Unit A</t>
  </si>
  <si>
    <t xml:space="preserve">Hartfield Logistics Ltd</t>
  </si>
  <si>
    <t xml:space="preserve">24 Jun 2016</t>
  </si>
  <si>
    <t xml:space="preserve">23 Jun 2031</t>
  </si>
  <si>
    <t xml:space="preserve">24 Jun 2026</t>
  </si>
  <si>
    <t xml:space="preserve">None</t>
  </si>
  <si>
    <t xml:space="preserve">Unit B</t>
  </si>
  <si>
    <t xml:space="preserve">Coventry Cold Storage Ltd</t>
  </si>
  <si>
    <t xml:space="preserve">29 Sep 2014</t>
  </si>
  <si>
    <t xml:space="preserve">28 Sep 2029</t>
  </si>
  <si>
    <t xml:space="preserve">29 Sep 2026</t>
  </si>
  <si>
    <t xml:space="preserve">Unit C</t>
  </si>
  <si>
    <t xml:space="preserve">Meridian Parts Distribution Ltd</t>
  </si>
  <si>
    <t xml:space="preserve">25 Dec 2017</t>
  </si>
  <si>
    <t xml:space="preserve">24 Dec 2032</t>
  </si>
  <si>
    <t xml:space="preserve">25 Dec 2027</t>
  </si>
  <si>
    <t xml:space="preserve">25 Dec 2027 (tenant)</t>
  </si>
  <si>
    <t xml:space="preserve">Unit D</t>
  </si>
  <si>
    <t xml:space="preserve">Northbridge Trade Supplies Ltd</t>
  </si>
  <si>
    <t xml:space="preserve">26 Mar 2013</t>
  </si>
  <si>
    <t xml:space="preserve">25 Mar 2028</t>
  </si>
  <si>
    <t xml:space="preserve">26 Mar 2028</t>
  </si>
  <si>
    <t xml:space="preserve">TOTAL / WEIGHTED</t>
  </si>
  <si>
    <t xml:space="preserve">Purchase price (£)</t>
  </si>
  <si>
    <t xml:space="preserve">Purchaser's costs %</t>
  </si>
  <si>
    <t xml:space="preserve">Gross purchase cost (£)</t>
  </si>
  <si>
    <t xml:space="preserve">Net initial yield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</si>
</sst>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£#,##0;[RED]&quot;(£&quot;#,##0\);\-"/>
    <numFmt numFmtId="167" formatCode="\£0.00"/>
    <numFmt numFmtId="168" formatCode="\£#,##0.00;[RED]&quot;(£&quot;#,##0.00\);\-"/>
    <numFmt numFmtId="169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n">
        <v>72400</v>
      </c>
      <c r="D5" s="4" t="s">
        <v>14</v>
      </c>
      <c r="E5" s="4" t="s">
        <v>15</v>
      </c>
      <c r="F5" s="4" t="s">
        <v>16</v>
      </c>
      <c r="G5" s="6" t="n">
        <v>532000</v>
      </c>
      <c r="H5" s="7" t="n">
        <f aca="false">G5/C5</f>
        <v>7.34806629834254</v>
      </c>
      <c r="I5" s="8" t="n">
        <v>0</v>
      </c>
      <c r="J5" s="4" t="s">
        <v>17</v>
      </c>
    </row>
    <row r="6" customFormat="false" ht="15" hidden="false" customHeight="false" outlineLevel="0" collapsed="false">
      <c r="A6" s="4" t="s">
        <v>18</v>
      </c>
      <c r="B6" s="4" t="s">
        <v>19</v>
      </c>
      <c r="C6" s="5" t="n">
        <v>48900</v>
      </c>
      <c r="D6" s="4" t="s">
        <v>20</v>
      </c>
      <c r="E6" s="4" t="s">
        <v>21</v>
      </c>
      <c r="F6" s="4" t="s">
        <v>22</v>
      </c>
      <c r="G6" s="6" t="n">
        <v>366750</v>
      </c>
      <c r="H6" s="7" t="n">
        <f aca="false">G6/C6</f>
        <v>7.5</v>
      </c>
      <c r="I6" s="8" t="n">
        <v>91687.5</v>
      </c>
      <c r="J6" s="4" t="s">
        <v>17</v>
      </c>
    </row>
    <row r="7" customFormat="false" ht="15" hidden="false" customHeight="false" outlineLevel="0" collapsed="false">
      <c r="A7" s="4" t="s">
        <v>23</v>
      </c>
      <c r="B7" s="4" t="s">
        <v>24</v>
      </c>
      <c r="C7" s="5" t="n">
        <v>39200</v>
      </c>
      <c r="D7" s="4" t="s">
        <v>25</v>
      </c>
      <c r="E7" s="4" t="s">
        <v>26</v>
      </c>
      <c r="F7" s="4" t="s">
        <v>27</v>
      </c>
      <c r="G7" s="6" t="n">
        <v>274400</v>
      </c>
      <c r="H7" s="7" t="n">
        <f aca="false">G7/C7</f>
        <v>7</v>
      </c>
      <c r="I7" s="8" t="n">
        <v>0</v>
      </c>
      <c r="J7" s="4" t="s">
        <v>28</v>
      </c>
    </row>
    <row r="8" customFormat="false" ht="15" hidden="false" customHeight="false" outlineLevel="0" collapsed="false">
      <c r="A8" s="4" t="s">
        <v>29</v>
      </c>
      <c r="B8" s="4" t="s">
        <v>30</v>
      </c>
      <c r="C8" s="5" t="n">
        <v>24000</v>
      </c>
      <c r="D8" s="4" t="s">
        <v>31</v>
      </c>
      <c r="E8" s="4" t="s">
        <v>32</v>
      </c>
      <c r="F8" s="4" t="s">
        <v>33</v>
      </c>
      <c r="G8" s="6" t="n">
        <v>155850</v>
      </c>
      <c r="H8" s="7" t="n">
        <f aca="false">G8/C8</f>
        <v>6.49375</v>
      </c>
      <c r="I8" s="8" t="n">
        <v>38962.5</v>
      </c>
      <c r="J8" s="4" t="s">
        <v>17</v>
      </c>
    </row>
    <row r="9" customFormat="false" ht="15" hidden="false" customHeight="false" outlineLevel="0" collapsed="false">
      <c r="A9" s="9" t="s">
        <v>34</v>
      </c>
      <c r="B9" s="9"/>
      <c r="C9" s="10" t="n">
        <f aca="false">SUM(C5:C8)</f>
        <v>184500</v>
      </c>
      <c r="D9" s="9"/>
      <c r="E9" s="9"/>
      <c r="F9" s="9"/>
      <c r="G9" s="11" t="n">
        <f aca="false">SUM(G5:G8)</f>
        <v>1329000</v>
      </c>
      <c r="H9" s="12" t="n">
        <f aca="false">G9/C9</f>
        <v>7.20325203252033</v>
      </c>
      <c r="I9" s="13" t="n">
        <f aca="false">SUM(I5:I8)</f>
        <v>130650</v>
      </c>
      <c r="J9" s="9"/>
    </row>
    <row r="11" customFormat="false" ht="15" hidden="false" customHeight="false" outlineLevel="0" collapsed="false">
      <c r="A11" s="14" t="s">
        <v>35</v>
      </c>
      <c r="B11" s="15" t="n">
        <v>18650000</v>
      </c>
    </row>
    <row r="12" customFormat="false" ht="15" hidden="false" customHeight="false" outlineLevel="0" collapsed="false">
      <c r="A12" s="14" t="s">
        <v>36</v>
      </c>
      <c r="B12" s="16" t="n">
        <v>0.068</v>
      </c>
    </row>
    <row r="13" customFormat="false" ht="15" hidden="false" customHeight="false" outlineLevel="0" collapsed="false">
      <c r="A13" s="14" t="s">
        <v>37</v>
      </c>
      <c r="B13" s="15" t="n">
        <f aca="false">B11*(1+B12)</f>
        <v>19918200</v>
      </c>
    </row>
    <row r="14" customFormat="false" ht="15" hidden="false" customHeight="false" outlineLevel="0" collapsed="false">
      <c r="A14" s="14" t="s">
        <v>38</v>
      </c>
      <c r="B14" s="16" t="n">
        <f aca="false">G9/B13</f>
        <v>0.0667228966472874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2026-06-26T13:42:53Z</dcterms:created>
  <dc:creator>openpyxl</dc:creator>
  <dc:description/>
  <dc:language>en-US</dc:language>
  <cp:lastModifiedBy/>
  <dcterms:modified xsi:type="dcterms:W3CDTF">2026-06-26T13:42:53Z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