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tion Stateme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<sst xmlns="http://schemas.openxmlformats.org/spreadsheetml/2006/main" count="25" uniqueCount="25">
  <si>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PROJECT ONYX — COMPLETION STATEMENT</t>
  </si>
  <si>
    <t xml:space="preserve">Buyer: Calderfield Capital Partners Ltd  •  Completion: 7 April 2026  •  Apportionments to 7 April 2026  •  Ref SW/eo/CAL-0143</t>
  </si>
  <si>
    <t xml:space="preserve">Item</t>
  </si>
  <si>
    <t xml:space="preserve">Note</t>
  </si>
  <si>
    <t xml:space="preserve">Debit Buyer (£)</t>
  </si>
  <si>
    <t xml:space="preserve">Credit Buyer (£)</t>
  </si>
  <si>
    <t xml:space="preserve">Purchase price</t>
  </si>
  <si>
    <t xml:space="preserve">Per contract dated 13 March 2026</t>
  </si>
  <si>
    <t xml:space="preserve">Less: deposit paid on exchange</t>
  </si>
  <si>
    <t xml:space="preserve">10% paid 13 Mar 2026</t>
  </si>
  <si>
    <t xml:space="preserve">Apportionment — rent (in advance)</t>
  </si>
  <si>
    <t xml:space="preserve">Mar quarter rent overpaid; see note 1</t>
  </si>
  <si>
    <t xml:space="preserve">Apportionment — service charge</t>
  </si>
  <si>
    <t xml:space="preserve">Q2 on-account, see note 2</t>
  </si>
  <si>
    <t xml:space="preserve">Rent deposits transferred to Buyer</t>
  </si>
  <si>
    <t xml:space="preserve">Units B &amp; D (held on account)</t>
  </si>
  <si>
    <t xml:space="preserve">Arrears assigned (Unit D)</t>
  </si>
  <si>
    <t xml:space="preserve">One month, recoverable by Buyer</t>
  </si>
  <si>
    <t xml:space="preserve">Sub-totals</t>
  </si>
  <si>
    <t xml:space="preserve">BALANCE DUE FROM BUYER ON COMPLETION (£)</t>
  </si>
  <si>
    <t xml:space="preserve">Memo: SDLT payable by Buyer post-completion (£)</t>
  </si>
  <si>
    <t xml:space="preserve">Apportionment basis</t>
  </si>
  <si>
    <t xml:space="preserve">Days in quarter (25 Mar–23 Jun 2026)</t>
  </si>
  <si>
    <t xml:space="preserve">Unexpired days from completion (7 Apr–23 Jun)</t>
  </si>
  <si>
    <t xml:space="preserve">Annual service charge budget (£)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</si>
</sst>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.00;[RED]&quot;(£&quot;#,##0.00\);\-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D9E1F2"/>
      </patternFill>
    </fill>
    <fill>
      <patternFill patternType="solid">
        <fgColor rgb="FFD9E1F2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4"/>
    <col collapsed="false" customWidth="true" hidden="false" outlineLevel="0" max="4" min="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n">
        <v>18650000</v>
      </c>
      <c r="D5" s="5"/>
    </row>
    <row r="6" customFormat="false" ht="15" hidden="false" customHeight="false" outlineLevel="0" collapsed="false">
      <c r="A6" s="4" t="s">
        <v>8</v>
      </c>
      <c r="B6" s="4" t="s">
        <v>9</v>
      </c>
      <c r="C6" s="5"/>
      <c r="D6" s="5" t="n">
        <v>1865000</v>
      </c>
    </row>
    <row r="7" customFormat="false" ht="15" hidden="false" customHeight="false" outlineLevel="0" collapsed="false">
      <c r="A7" s="4" t="s">
        <v>10</v>
      </c>
      <c r="B7" s="4" t="s">
        <v>11</v>
      </c>
      <c r="C7" s="5"/>
      <c r="D7" s="5" t="n">
        <f aca="false">ROUND(1329000/4*C16/C15,2)</f>
        <v>287950</v>
      </c>
    </row>
    <row r="8" customFormat="false" ht="15" hidden="false" customHeight="false" outlineLevel="0" collapsed="false">
      <c r="A8" s="4" t="s">
        <v>12</v>
      </c>
      <c r="B8" s="4" t="s">
        <v>13</v>
      </c>
      <c r="C8" s="5"/>
      <c r="D8" s="5" t="n">
        <f aca="false">ROUND(186600/4*C16/C15,2)</f>
        <v>40430</v>
      </c>
    </row>
    <row r="9" customFormat="false" ht="15" hidden="false" customHeight="false" outlineLevel="0" collapsed="false">
      <c r="A9" s="4" t="s">
        <v>14</v>
      </c>
      <c r="B9" s="4" t="s">
        <v>15</v>
      </c>
      <c r="C9" s="5"/>
      <c r="D9" s="5" t="n">
        <v>130650</v>
      </c>
    </row>
    <row r="10" customFormat="false" ht="15" hidden="false" customHeight="false" outlineLevel="0" collapsed="false">
      <c r="A10" s="4" t="s">
        <v>16</v>
      </c>
      <c r="B10" s="4" t="s">
        <v>17</v>
      </c>
      <c r="C10" s="5" t="n">
        <v>12987.5</v>
      </c>
      <c r="D10" s="5"/>
    </row>
    <row r="11" customFormat="false" ht="15" hidden="false" customHeight="false" outlineLevel="0" collapsed="false">
      <c r="A11" s="6" t="s">
        <v>18</v>
      </c>
      <c r="B11" s="6"/>
      <c r="C11" s="7" t="n">
        <f aca="false">SUM(C5:C10)</f>
        <v>18662987.5</v>
      </c>
      <c r="D11" s="7" t="n">
        <f aca="false">SUM(D5:D10)</f>
        <v>2324030</v>
      </c>
    </row>
    <row r="12" customFormat="false" ht="15" hidden="false" customHeight="false" outlineLevel="0" collapsed="false">
      <c r="A12" s="8" t="s">
        <v>19</v>
      </c>
      <c r="B12" s="8"/>
      <c r="C12" s="9" t="n">
        <f aca="false">C11-D11</f>
        <v>16338957.5</v>
      </c>
      <c r="D12" s="10"/>
    </row>
    <row r="13" customFormat="false" ht="15" hidden="false" customHeight="false" outlineLevel="0" collapsed="false">
      <c r="A13" s="0" t="s">
        <v>20</v>
      </c>
      <c r="C13" s="11" t="n">
        <f aca="false">ROUND(150000*0+(250000-150000)*0.02+(0)+(18650000-250000)*0.05,2)</f>
        <v>922000</v>
      </c>
      <c r="D13" s="12"/>
    </row>
    <row r="14" customFormat="false" ht="15" hidden="false" customHeight="false" outlineLevel="0" collapsed="false">
      <c r="A14" s="13" t="s">
        <v>21</v>
      </c>
      <c r="C14" s="14"/>
    </row>
    <row r="15" customFormat="false" ht="15" hidden="false" customHeight="false" outlineLevel="0" collapsed="false">
      <c r="A15" s="0" t="s">
        <v>22</v>
      </c>
      <c r="C15" s="14" t="n">
        <v>90</v>
      </c>
    </row>
    <row r="16" customFormat="false" ht="15" hidden="false" customHeight="false" outlineLevel="0" collapsed="false">
      <c r="A16" s="0" t="s">
        <v>23</v>
      </c>
      <c r="C16" s="14" t="n">
        <v>78</v>
      </c>
    </row>
    <row r="17" customFormat="false" ht="15" hidden="false" customHeight="false" outlineLevel="0" collapsed="false">
      <c r="A17" s="0" t="s">
        <v>24</v>
      </c>
      <c r="C17" s="14" t="n">
        <v>186600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2026-06-26T13:42:53Z</dcterms:created>
  <dc:creator>openpyxl</dc:creator>
  <dc:description/>
  <dc:language>en-US</dc:language>
  <cp:lastModifiedBy/>
  <dcterms:modified xsi:type="dcterms:W3CDTF">2026-06-26T13:42:53Z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