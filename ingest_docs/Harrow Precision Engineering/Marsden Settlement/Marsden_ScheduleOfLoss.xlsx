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 of Los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<sst xmlns="http://schemas.openxmlformats.org/spreadsheetml/2006/main" count="53" uniqueCount="53">
  <si>
    <t xml:space="preserve">Philip Marsden  v  Harrow Precision Engineering Limited</t>
  </si>
  <si>
    <t xml:space="preserve">SCHEDULE OF LOSS — prepared on behalf of the Claimant (without prejudice)</t>
  </si>
  <si>
    <t xml:space="preserve">Pemberton Rowe LLP · 24 February 2026 · Claims: constructive unfair dismissal; detriment &amp; automatically unfair dismissal (protected disclosure)</t>
  </si>
  <si>
    <t xml:space="preserve">Claimant's particulars</t>
  </si>
  <si>
    <t xml:space="preserve">Effective date of termination</t>
  </si>
  <si>
    <t xml:space="preserve">31 March 2026</t>
  </si>
  <si>
    <t xml:space="preserve">Continuous service from</t>
  </si>
  <si>
    <t xml:space="preserve">8 February 2016</t>
  </si>
  <si>
    <t xml:space="preserve">Complete years' service</t>
  </si>
  <si>
    <t xml:space="preserve">Gross annual salary</t>
  </si>
  <si>
    <t xml:space="preserve">Car allowance (pa)</t>
  </si>
  <si>
    <t xml:space="preserve">Employer pension (8% of salary, pa)</t>
  </si>
  <si>
    <t xml:space="preserve">Gross salary + benefits (pa)</t>
  </si>
  <si>
    <t xml:space="preserve">Estimated net annual pay (62%)</t>
  </si>
  <si>
    <t xml:space="preserve">Estimated net monthly pay</t>
  </si>
  <si>
    <t xml:space="preserve">Head of loss</t>
  </si>
  <si>
    <t xml:space="preserve">Basis / period</t>
  </si>
  <si>
    <t xml:space="preserve">Amount</t>
  </si>
  <si>
    <t xml:space="preserve">Notes</t>
  </si>
  <si>
    <t xml:space="preserve">Basic award</t>
  </si>
  <si>
    <t xml:space="preserve">10 weeks' gross pay (uncapped statutory comparator)</t>
  </si>
  <si>
    <t xml:space="preserve">Comparator figure for negotiation</t>
  </si>
  <si>
    <t xml:space="preserve">Loss of statutory rights</t>
  </si>
  <si>
    <t xml:space="preserve">conventional award</t>
  </si>
  <si>
    <t xml:space="preserve">Conventional figure</t>
  </si>
  <si>
    <t xml:space="preserve">Notice / contractual loss</t>
  </si>
  <si>
    <t xml:space="preserve">balance of 12-month notice not on garden leave</t>
  </si>
  <si>
    <t xml:space="preserve">Notice worked on garden leave</t>
  </si>
  <si>
    <t xml:space="preserve">Compensatory award — past loss</t>
  </si>
  <si>
    <t xml:space="preserve">2 months net (1 Apr–31 May 2026)</t>
  </si>
  <si>
    <t xml:space="preserve">Period to date of remedy hearing estimate</t>
  </si>
  <si>
    <t xml:space="preserve">Compensatory award — future loss</t>
  </si>
  <si>
    <t xml:space="preserve">9 months net salary</t>
  </si>
  <si>
    <t xml:space="preserve">Estimated period to mitigate</t>
  </si>
  <si>
    <t xml:space="preserve">Future loss — pension</t>
  </si>
  <si>
    <t xml:space="preserve">9 months employer pension</t>
  </si>
  <si>
    <t xml:space="preserve">Pension over future-loss period</t>
  </si>
  <si>
    <t xml:space="preserve">Future loss — car allowance</t>
  </si>
  <si>
    <t xml:space="preserve">9 months</t>
  </si>
  <si>
    <t xml:space="preserve">Benefit element of future loss</t>
  </si>
  <si>
    <t xml:space="preserve">Injury to feelings (Vento middle band)</t>
  </si>
  <si>
    <t xml:space="preserve">protected-disclosure detriment</t>
  </si>
  <si>
    <t xml:space="preserve">Middle Vento band</t>
  </si>
  <si>
    <t xml:space="preserve">Aggravated damages</t>
  </si>
  <si>
    <t xml:space="preserve">manner of the all-staff announcement</t>
  </si>
  <si>
    <t xml:space="preserve">Manner of dismissal</t>
  </si>
  <si>
    <t xml:space="preserve">Sub-total (before ACAS uplift)</t>
  </si>
  <si>
    <t xml:space="preserve">ACAS uplift (10%) on compensatory + detriment heads</t>
  </si>
  <si>
    <t xml:space="preserve">failure to follow a fair procedure</t>
  </si>
  <si>
    <t xml:space="preserve">s.207A TULRCA uplift</t>
  </si>
  <si>
    <t xml:space="preserve">TOTAL CLAIMED (gross)</t>
  </si>
  <si>
    <t xml:space="preserve">Note: a compensatory award for protected-disclosure dismissal is not subject to the statutory cap (s.124(1A) ERA 1996).</t>
  </si>
  <si>
    <t xml:space="preserve">Provided on a without-prejudice basis for settlement discussions only. Figures subject to the Claimant's duty to mitigate.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</si>
</sst>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;&quot;(£&quot;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18"/>
    <col collapsed="false" customWidth="true" hidden="false" outlineLevel="0" max="4" min="4" style="0" width="4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  <c r="B6" s="6" t="s">
        <v>5</v>
      </c>
    </row>
    <row r="7" customFormat="false" ht="15" hidden="false" customHeight="false" outlineLevel="0" collapsed="false">
      <c r="A7" s="5" t="s">
        <v>6</v>
      </c>
      <c r="B7" s="6" t="s">
        <v>7</v>
      </c>
    </row>
    <row r="8" customFormat="false" ht="15" hidden="false" customHeight="false" outlineLevel="0" collapsed="false">
      <c r="A8" s="5" t="s">
        <v>8</v>
      </c>
      <c r="B8" s="7" t="n">
        <v>10</v>
      </c>
    </row>
    <row r="9" customFormat="false" ht="15" hidden="false" customHeight="false" outlineLevel="0" collapsed="false">
      <c r="A9" s="5" t="s">
        <v>9</v>
      </c>
      <c r="B9" s="8" t="n">
        <v>142000</v>
      </c>
    </row>
    <row r="10" customFormat="false" ht="15" hidden="false" customHeight="false" outlineLevel="0" collapsed="false">
      <c r="A10" s="5" t="s">
        <v>10</v>
      </c>
      <c r="B10" s="8" t="n">
        <v>9600</v>
      </c>
    </row>
    <row r="11" customFormat="false" ht="15" hidden="false" customHeight="false" outlineLevel="0" collapsed="false">
      <c r="A11" s="5" t="s">
        <v>11</v>
      </c>
      <c r="B11" s="9" t="n">
        <f aca="false">B9*0.08</f>
        <v>11360</v>
      </c>
    </row>
    <row r="12" customFormat="false" ht="15" hidden="false" customHeight="false" outlineLevel="0" collapsed="false">
      <c r="A12" s="5" t="s">
        <v>12</v>
      </c>
      <c r="B12" s="9" t="n">
        <f aca="false">B9+B10+B11</f>
        <v>162960</v>
      </c>
    </row>
    <row r="13" customFormat="false" ht="15" hidden="false" customHeight="false" outlineLevel="0" collapsed="false">
      <c r="A13" s="5" t="s">
        <v>13</v>
      </c>
      <c r="B13" s="9" t="n">
        <f aca="false">B9*0.62</f>
        <v>88040</v>
      </c>
    </row>
    <row r="14" customFormat="false" ht="15" hidden="false" customHeight="false" outlineLevel="0" collapsed="false">
      <c r="A14" s="5" t="s">
        <v>14</v>
      </c>
      <c r="B14" s="9" t="n">
        <f aca="false">B13/12</f>
        <v>7336.66666666667</v>
      </c>
    </row>
    <row r="16" customFormat="false" ht="15" hidden="false" customHeight="false" outlineLevel="0" collapsed="false">
      <c r="A16" s="10" t="s">
        <v>15</v>
      </c>
      <c r="B16" s="10" t="s">
        <v>16</v>
      </c>
      <c r="C16" s="10" t="s">
        <v>17</v>
      </c>
      <c r="D16" s="10" t="s">
        <v>18</v>
      </c>
    </row>
    <row r="17" customFormat="false" ht="35.05" hidden="false" customHeight="false" outlineLevel="0" collapsed="false">
      <c r="A17" s="11" t="s">
        <v>19</v>
      </c>
      <c r="B17" s="12" t="s">
        <v>20</v>
      </c>
      <c r="C17" s="13" t="n">
        <f aca="false">B9/52*10</f>
        <v>27307.6923076923</v>
      </c>
      <c r="D17" s="14" t="s">
        <v>21</v>
      </c>
    </row>
    <row r="18" customFormat="false" ht="15" hidden="false" customHeight="false" outlineLevel="0" collapsed="false">
      <c r="A18" s="11" t="s">
        <v>22</v>
      </c>
      <c r="B18" s="12" t="s">
        <v>23</v>
      </c>
      <c r="C18" s="13" t="n">
        <f aca="false">500</f>
        <v>500</v>
      </c>
      <c r="D18" s="14" t="s">
        <v>24</v>
      </c>
    </row>
    <row r="19" customFormat="false" ht="35.05" hidden="false" customHeight="false" outlineLevel="0" collapsed="false">
      <c r="A19" s="11" t="s">
        <v>25</v>
      </c>
      <c r="B19" s="12" t="s">
        <v>26</v>
      </c>
      <c r="C19" s="13" t="n">
        <f aca="false">0</f>
        <v>0</v>
      </c>
      <c r="D19" s="14" t="s">
        <v>27</v>
      </c>
    </row>
    <row r="20" customFormat="false" ht="23.85" hidden="false" customHeight="false" outlineLevel="0" collapsed="false">
      <c r="A20" s="11" t="s">
        <v>28</v>
      </c>
      <c r="B20" s="12" t="s">
        <v>29</v>
      </c>
      <c r="C20" s="13" t="n">
        <f aca="false">B13/12*2</f>
        <v>14673.3333333333</v>
      </c>
      <c r="D20" s="14" t="s">
        <v>30</v>
      </c>
    </row>
    <row r="21" customFormat="false" ht="15" hidden="false" customHeight="false" outlineLevel="0" collapsed="false">
      <c r="A21" s="11" t="s">
        <v>31</v>
      </c>
      <c r="B21" s="12" t="s">
        <v>32</v>
      </c>
      <c r="C21" s="13" t="n">
        <f aca="false">B13/12*9</f>
        <v>66030</v>
      </c>
      <c r="D21" s="14" t="s">
        <v>33</v>
      </c>
    </row>
    <row r="22" customFormat="false" ht="23.85" hidden="false" customHeight="false" outlineLevel="0" collapsed="false">
      <c r="A22" s="11" t="s">
        <v>34</v>
      </c>
      <c r="B22" s="12" t="s">
        <v>35</v>
      </c>
      <c r="C22" s="13" t="n">
        <f aca="false">B11/12*9</f>
        <v>8520</v>
      </c>
      <c r="D22" s="14" t="s">
        <v>36</v>
      </c>
    </row>
    <row r="23" customFormat="false" ht="15" hidden="false" customHeight="false" outlineLevel="0" collapsed="false">
      <c r="A23" s="11" t="s">
        <v>37</v>
      </c>
      <c r="B23" s="12" t="s">
        <v>38</v>
      </c>
      <c r="C23" s="13" t="n">
        <f aca="false">B10/12*9</f>
        <v>7200</v>
      </c>
      <c r="D23" s="14" t="s">
        <v>39</v>
      </c>
    </row>
    <row r="24" customFormat="false" ht="23.85" hidden="false" customHeight="false" outlineLevel="0" collapsed="false">
      <c r="A24" s="11" t="s">
        <v>40</v>
      </c>
      <c r="B24" s="12" t="s">
        <v>41</v>
      </c>
      <c r="C24" s="13" t="n">
        <f aca="false">25000</f>
        <v>25000</v>
      </c>
      <c r="D24" s="14" t="s">
        <v>42</v>
      </c>
    </row>
    <row r="25" customFormat="false" ht="23.85" hidden="false" customHeight="false" outlineLevel="0" collapsed="false">
      <c r="A25" s="11" t="s">
        <v>43</v>
      </c>
      <c r="B25" s="12" t="s">
        <v>44</v>
      </c>
      <c r="C25" s="13" t="n">
        <f aca="false">7500</f>
        <v>7500</v>
      </c>
      <c r="D25" s="14" t="s">
        <v>45</v>
      </c>
    </row>
    <row r="26" customFormat="false" ht="15" hidden="false" customHeight="false" outlineLevel="0" collapsed="false">
      <c r="A26" s="15" t="s">
        <v>46</v>
      </c>
      <c r="B26" s="16"/>
      <c r="C26" s="17" t="n">
        <f aca="false">SUM(C17:C25)</f>
        <v>156731.025641026</v>
      </c>
      <c r="D26" s="16"/>
    </row>
    <row r="27" customFormat="false" ht="15" hidden="false" customHeight="false" outlineLevel="0" collapsed="false">
      <c r="A27" s="11" t="s">
        <v>47</v>
      </c>
      <c r="B27" s="11" t="s">
        <v>48</v>
      </c>
      <c r="C27" s="13" t="n">
        <f aca="false">(C20+C21+C24)*0.1</f>
        <v>10570.3333333333</v>
      </c>
      <c r="D27" s="14" t="s">
        <v>49</v>
      </c>
    </row>
    <row r="28" customFormat="false" ht="15" hidden="false" customHeight="false" outlineLevel="0" collapsed="false">
      <c r="A28" s="18" t="s">
        <v>50</v>
      </c>
      <c r="B28" s="19"/>
      <c r="C28" s="20" t="n">
        <f aca="false">C26+C27</f>
        <v>167301.358974359</v>
      </c>
      <c r="D28" s="19"/>
    </row>
    <row r="30" customFormat="false" ht="15" hidden="false" customHeight="false" outlineLevel="0" collapsed="false">
      <c r="A30" s="3" t="s">
        <v>51</v>
      </c>
    </row>
    <row r="31" customFormat="false" ht="15" hidden="false" customHeight="false" outlineLevel="0" collapsed="false">
      <c r="A31" s="3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2026-06-29T11:24:17Z</dcterms:created>
  <dc:creator>openpyxl</dc:creator>
  <dc:description/>
  <dc:language>en-US</dc:language>
  <cp:lastModifiedBy/>
  <dcterms:modified xsi:type="dcterms:W3CDTF">2026-06-29T11:24:17Z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