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lement Comput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<sst xmlns="http://schemas.openxmlformats.org/spreadsheetml/2006/main" count="36" uniqueCount="34">
  <si>
    <t xml:space="preserve">Harrow Precision Engineering Limited — P. Marsden Settlement</t>
  </si>
  <si>
    <t xml:space="preserve">SETTLEMENT PAYMENT SCHEDULE &amp; PAYE / NIC COMPUTATION</t>
  </si>
  <si>
    <t xml:space="preserve">Prepared by Whitfield Carter LLP · 25 March 2026 · Ties to Settlement Agreement dated 27 March 2026 (clause 4)</t>
  </si>
  <si>
    <t xml:space="preserve">Assumptions</t>
  </si>
  <si>
    <t xml:space="preserve">Marginal income tax rate (additional/higher)</t>
  </si>
  <si>
    <t xml:space="preserve">Employee NIC rate (above UEL)</t>
  </si>
  <si>
    <t xml:space="preserve">Employer NIC (Class 1 / 1A) rate</t>
  </si>
  <si>
    <t xml:space="preserve">Tax-free termination cap (s.401–403 ITEPA)</t>
  </si>
  <si>
    <t xml:space="preserve">Payment element</t>
  </si>
  <si>
    <t xml:space="preserve">Gross</t>
  </si>
  <si>
    <t xml:space="preserve">Taxable?</t>
  </si>
  <si>
    <t xml:space="preserve">Net to employee</t>
  </si>
  <si>
    <t xml:space="preserve">Treatment</t>
  </si>
  <si>
    <t xml:space="preserve">Ex gratia compensation for loss of office</t>
  </si>
  <si>
    <t xml:space="preserve">Partly</t>
  </si>
  <si>
    <t xml:space="preserve">Clause 4.1.1 — first £30k tax free</t>
  </si>
  <si>
    <t xml:space="preserve">Pro-rated discretionary bonus FY ended 30 Sep 2025</t>
  </si>
  <si>
    <t xml:space="preserve">Yes</t>
  </si>
  <si>
    <t xml:space="preserve">Clause 4.1.2 — earnings, PAYE</t>
  </si>
  <si>
    <t xml:space="preserve">Accrued but untaken holiday</t>
  </si>
  <si>
    <t xml:space="preserve">Clause 4.1.3 — earnings, PAYE</t>
  </si>
  <si>
    <t xml:space="preserve">Outplacement support (provider invoice)</t>
  </si>
  <si>
    <t xml:space="preserve">No</t>
  </si>
  <si>
    <t xml:space="preserve">Clause 4.1.4 — exempt benefit</t>
  </si>
  <si>
    <t xml:space="preserve">Legal-fee contribution (to Pemberton Rowe, +VAT)</t>
  </si>
  <si>
    <t xml:space="preserve">Clause 4.1.5 — exempt (s.413A)</t>
  </si>
  <si>
    <t xml:space="preserve">TOTAL</t>
  </si>
  <si>
    <t xml:space="preserve">Total gross payments (above)</t>
  </si>
  <si>
    <t xml:space="preserve">Taxable amount above £30k cap (ex gratia)</t>
  </si>
  <si>
    <t xml:space="preserve">Employer Class 1A NIC on excess over £30k</t>
  </si>
  <si>
    <t xml:space="preserve">Employer NIC on bonus + holiday</t>
  </si>
  <si>
    <t xml:space="preserve">Total employer cost (cash + employer NIC)</t>
  </si>
  <si>
    <t xml:space="preserve">Net cash received by employee (after tax/NIC) — clauses 4.1.1–4.1.3 + outplacement</t>
  </si>
  <si>
    <t xml:space="preserve">Cross-check: total cash to employee under cl.4.1.1–4.1.3 = £124,230 gross (£95,000 + £24,850 + £4,380).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</si>
</sst>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£#,##0;&quot;(£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v>0.45</v>
      </c>
    </row>
    <row r="7" customFormat="false" ht="15" hidden="false" customHeight="false" outlineLevel="0" collapsed="false">
      <c r="A7" s="5" t="s">
        <v>5</v>
      </c>
      <c r="B7" s="6" t="n">
        <v>0.02</v>
      </c>
    </row>
    <row r="8" customFormat="false" ht="15" hidden="false" customHeight="false" outlineLevel="0" collapsed="false">
      <c r="A8" s="5" t="s">
        <v>6</v>
      </c>
      <c r="B8" s="6" t="n">
        <v>0.138</v>
      </c>
    </row>
    <row r="9" customFormat="false" ht="15" hidden="false" customHeight="false" outlineLevel="0" collapsed="false">
      <c r="A9" s="5" t="s">
        <v>7</v>
      </c>
      <c r="B9" s="7" t="n">
        <v>30000</v>
      </c>
    </row>
    <row r="11" customFormat="false" ht="26.85" hidden="false" customHeight="false" outlineLevel="0" collapsed="false">
      <c r="A11" s="8" t="s">
        <v>8</v>
      </c>
      <c r="B11" s="8" t="s">
        <v>9</v>
      </c>
      <c r="C11" s="8" t="s">
        <v>10</v>
      </c>
      <c r="D11" s="8" t="s">
        <v>11</v>
      </c>
      <c r="E11" s="8" t="s">
        <v>12</v>
      </c>
    </row>
    <row r="12" customFormat="false" ht="15" hidden="false" customHeight="false" outlineLevel="0" collapsed="false">
      <c r="A12" s="9" t="s">
        <v>13</v>
      </c>
      <c r="B12" s="10" t="n">
        <v>95000</v>
      </c>
      <c r="C12" s="11" t="s">
        <v>14</v>
      </c>
      <c r="D12" s="12" t="n">
        <f aca="false">$B$9+(B12-$B$9)*(1-$B$6-$B$7)</f>
        <v>64450</v>
      </c>
      <c r="E12" s="13" t="s">
        <v>15</v>
      </c>
    </row>
    <row r="13" customFormat="false" ht="15" hidden="false" customHeight="false" outlineLevel="0" collapsed="false">
      <c r="A13" s="9" t="s">
        <v>16</v>
      </c>
      <c r="B13" s="10" t="n">
        <v>24850</v>
      </c>
      <c r="C13" s="11" t="s">
        <v>17</v>
      </c>
      <c r="D13" s="12" t="n">
        <f aca="false">B13*(1-$B$6-$B$7)</f>
        <v>13170.5</v>
      </c>
      <c r="E13" s="13" t="s">
        <v>18</v>
      </c>
    </row>
    <row r="14" customFormat="false" ht="15" hidden="false" customHeight="false" outlineLevel="0" collapsed="false">
      <c r="A14" s="9" t="s">
        <v>19</v>
      </c>
      <c r="B14" s="10" t="n">
        <v>4380</v>
      </c>
      <c r="C14" s="11" t="s">
        <v>17</v>
      </c>
      <c r="D14" s="12" t="n">
        <f aca="false">B14*(1-$B$6-$B$7)</f>
        <v>2321.4</v>
      </c>
      <c r="E14" s="13" t="s">
        <v>20</v>
      </c>
    </row>
    <row r="15" customFormat="false" ht="15" hidden="false" customHeight="false" outlineLevel="0" collapsed="false">
      <c r="A15" s="9" t="s">
        <v>21</v>
      </c>
      <c r="B15" s="10" t="n">
        <v>5000</v>
      </c>
      <c r="C15" s="11" t="s">
        <v>22</v>
      </c>
      <c r="D15" s="12" t="n">
        <f aca="false">B15</f>
        <v>5000</v>
      </c>
      <c r="E15" s="13" t="s">
        <v>23</v>
      </c>
    </row>
    <row r="16" customFormat="false" ht="15" hidden="false" customHeight="false" outlineLevel="0" collapsed="false">
      <c r="A16" s="9" t="s">
        <v>24</v>
      </c>
      <c r="B16" s="10" t="n">
        <v>1500</v>
      </c>
      <c r="C16" s="11" t="s">
        <v>22</v>
      </c>
      <c r="D16" s="12" t="n">
        <f aca="false">B16</f>
        <v>1500</v>
      </c>
      <c r="E16" s="13" t="s">
        <v>25</v>
      </c>
    </row>
    <row r="17" customFormat="false" ht="15" hidden="false" customHeight="false" outlineLevel="0" collapsed="false">
      <c r="A17" s="14" t="s">
        <v>26</v>
      </c>
      <c r="B17" s="15" t="n">
        <f aca="false">SUM(B12:B16)</f>
        <v>130730</v>
      </c>
      <c r="C17" s="16"/>
      <c r="D17" s="15" t="n">
        <f aca="false">SUM(D12:D16)</f>
        <v>86441.9</v>
      </c>
      <c r="E17" s="16"/>
    </row>
    <row r="19" customFormat="false" ht="15" hidden="false" customHeight="false" outlineLevel="0" collapsed="false">
      <c r="A19" s="5" t="s">
        <v>27</v>
      </c>
      <c r="B19" s="17" t="n">
        <f aca="false">B17</f>
        <v>130730</v>
      </c>
    </row>
    <row r="20" customFormat="false" ht="15" hidden="false" customHeight="false" outlineLevel="0" collapsed="false">
      <c r="A20" s="5" t="s">
        <v>28</v>
      </c>
      <c r="B20" s="17" t="n">
        <f aca="false">B12-$B$9</f>
        <v>65000</v>
      </c>
    </row>
    <row r="21" customFormat="false" ht="15" hidden="false" customHeight="false" outlineLevel="0" collapsed="false">
      <c r="A21" s="5" t="s">
        <v>29</v>
      </c>
      <c r="B21" s="17" t="n">
        <f aca="false">(B20)*$B$8</f>
        <v>8970</v>
      </c>
    </row>
    <row r="22" customFormat="false" ht="15" hidden="false" customHeight="false" outlineLevel="0" collapsed="false">
      <c r="A22" s="5" t="s">
        <v>30</v>
      </c>
      <c r="B22" s="17" t="n">
        <f aca="false">(B13+B14)*$B$8</f>
        <v>4033.74</v>
      </c>
    </row>
    <row r="23" customFormat="false" ht="15" hidden="false" customHeight="false" outlineLevel="0" collapsed="false">
      <c r="A23" s="18" t="s">
        <v>31</v>
      </c>
      <c r="B23" s="19" t="n">
        <f aca="false">B19+B21+B22</f>
        <v>143733.74</v>
      </c>
    </row>
    <row r="25" customFormat="false" ht="15" hidden="false" customHeight="false" outlineLevel="0" collapsed="false">
      <c r="A25" s="5" t="s">
        <v>32</v>
      </c>
      <c r="B25" s="17" t="n">
        <f aca="false">D17</f>
        <v>86441.9</v>
      </c>
    </row>
    <row r="27" customFormat="false" ht="15" hidden="false" customHeight="false" outlineLevel="0" collapsed="false">
      <c r="A27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2026-06-29T11:23:15Z</dcterms:created>
  <dc:creator>openpyxl</dc:creator>
  <dc:description/>
  <dc:language>en-US</dc:language>
  <cp:lastModifiedBy/>
  <dcterms:modified xsi:type="dcterms:W3CDTF">2026-06-29T11:23:15Z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