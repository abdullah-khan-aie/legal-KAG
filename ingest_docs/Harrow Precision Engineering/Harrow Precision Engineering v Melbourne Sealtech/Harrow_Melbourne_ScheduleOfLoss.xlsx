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<sst xmlns="http://schemas.openxmlformats.org/spreadsheetml/2006/main" count="71" uniqueCount="68">
  <si>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Harrow Precision Engineering Limited v Melbourne Sealtech Limited</t>
  </si>
  <si>
    <t xml:space="preserve">Claim No. HT-2025-000318  —  Schedule of Loss  (served with Particulars of Claim, 11 June 2025)</t>
  </si>
  <si>
    <t xml:space="preserve">Part A — Summary of heads of loss</t>
  </si>
  <si>
    <t xml:space="preserve">Ref</t>
  </si>
  <si>
    <t xml:space="preserve">Head of loss</t>
  </si>
  <si>
    <t xml:space="preserve">Basis</t>
  </si>
  <si>
    <t xml:space="preserve">Amount (£)</t>
  </si>
  <si>
    <t xml:space="preserve">A1</t>
  </si>
  <si>
    <t xml:space="preserve">Replacement seals and remedial rebuild of affected pumps</t>
  </si>
  <si>
    <t xml:space="preserve">See Part B</t>
  </si>
  <si>
    <t xml:space="preserve">A2</t>
  </si>
  <si>
    <t xml:space="preserve">Credits, refunds and warranty payments to customers</t>
  </si>
  <si>
    <t xml:space="preserve">See Part C</t>
  </si>
  <si>
    <t xml:space="preserve">A3</t>
  </si>
  <si>
    <t xml:space="preserve">Field recall and on-site labour</t>
  </si>
  <si>
    <t xml:space="preserve">See Part D</t>
  </si>
  <si>
    <t xml:space="preserve">A4</t>
  </si>
  <si>
    <t xml:space="preserve">Loss of profit – Pennland Water framework</t>
  </si>
  <si>
    <t xml:space="preserve">See Part E</t>
  </si>
  <si>
    <t xml:space="preserve">A5</t>
  </si>
  <si>
    <t xml:space="preserve">Investigation and expert costs</t>
  </si>
  <si>
    <t xml:space="preserve">Trentham Tribology + internal</t>
  </si>
  <si>
    <t xml:space="preserve">TOTAL CLAIM</t>
  </si>
  <si>
    <t xml:space="preserve">Part B — Replacement seals and remedial rebuild</t>
  </si>
  <si>
    <t xml:space="preserve">Item</t>
  </si>
  <si>
    <t xml:space="preserve">Qty</t>
  </si>
  <si>
    <t xml:space="preserve">Unit cost (£)</t>
  </si>
  <si>
    <t xml:space="preserve">Cost (£)</t>
  </si>
  <si>
    <t xml:space="preserve">Note</t>
  </si>
  <si>
    <t xml:space="preserve">Replacement cartridge seals (alternative supplier, to spec)</t>
  </si>
  <si>
    <t xml:space="preserve">Higher unit price than MS-72 (£214)</t>
  </si>
  <si>
    <t xml:space="preserve">Pump strip-down and rebuild labour (workshop)</t>
  </si>
  <si>
    <t xml:space="preserve">Affected units returned to works</t>
  </si>
  <si>
    <t xml:space="preserve">Replacement seal kits, gaskets and consumables</t>
  </si>
  <si>
    <t xml:space="preserve">Per rebuilt unit</t>
  </si>
  <si>
    <t xml:space="preserve">Freight and logistics on returned/replaced units</t>
  </si>
  <si>
    <t xml:space="preserve">Two-way carriage</t>
  </si>
  <si>
    <t xml:space="preserve">Scrapped MS-72 seals (unrecoverable)</t>
  </si>
  <si>
    <t xml:space="preserve">Written off; no residual value</t>
  </si>
  <si>
    <t xml:space="preserve">Subtotal Part B</t>
  </si>
  <si>
    <t xml:space="preserve">Rounded to £1,240,000 in Part A</t>
  </si>
  <si>
    <t xml:space="preserve">Part C — Credits, refunds and warranty payments to customers</t>
  </si>
  <si>
    <t xml:space="preserve">Customer</t>
  </si>
  <si>
    <t xml:space="preserve">No. of units</t>
  </si>
  <si>
    <t xml:space="preserve">Credit/payment (£)</t>
  </si>
  <si>
    <t xml:space="preserve">Pennland Water plc</t>
  </si>
  <si>
    <t xml:space="preserve">Calderwater Utilities Limited</t>
  </si>
  <si>
    <t xml:space="preserve">Building-services contractors (various)</t>
  </si>
  <si>
    <t xml:space="preserve">Distributor stock returns and rebates</t>
  </si>
  <si>
    <t xml:space="preserve">Subtotal Part C (= £742,000)</t>
  </si>
  <si>
    <t xml:space="preserve">Part D — Field recall and on-site labour</t>
  </si>
  <si>
    <t xml:space="preserve">Unit (£)</t>
  </si>
  <si>
    <t xml:space="preserve">On-site seal replacement visits (engineer day-rate)</t>
  </si>
  <si>
    <t xml:space="preserve">Travel, subsistence and plant hire</t>
  </si>
  <si>
    <t xml:space="preserve">Recall administration and customer liaison</t>
  </si>
  <si>
    <t xml:space="preserve">Expedited replacement seal air-freight</t>
  </si>
  <si>
    <t xml:space="preserve">Subtotal Part D (= £468,000)</t>
  </si>
  <si>
    <t xml:space="preserve">Part E — Loss of profit on Pennland Water framework</t>
  </si>
  <si>
    <t xml:space="preserve">Assumption</t>
  </si>
  <si>
    <t xml:space="preserve">Value</t>
  </si>
  <si>
    <t xml:space="preserve">Annual pump units under framework</t>
  </si>
  <si>
    <t xml:space="preserve">Net profit per unit (£)</t>
  </si>
  <si>
    <t xml:space="preserve">Remaining framework term (years)</t>
  </si>
  <si>
    <t xml:space="preserve">Discount / mitigation factor</t>
  </si>
  <si>
    <t xml:space="preserve">Gross lost profit (units × margin × years)</t>
  </si>
  <si>
    <t xml:space="preserve">Less mitigation (alternative sales)</t>
  </si>
  <si>
    <t xml:space="preserve">Net loss of profit (rounded to £985,000 in Part A)</t>
  </si>
  <si>
    <t xml:space="preserve">Interest is claimed under s.35A Senior Courts Act 1981 at 2% over base, to be computed to judgment.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</si>
</sst>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6" t="n">
        <v>1240000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12</v>
      </c>
      <c r="D7" s="6" t="n">
        <v>742000</v>
      </c>
    </row>
    <row r="8" customFormat="false" ht="15" hidden="false" customHeight="false" outlineLevel="0" collapsed="false">
      <c r="A8" s="5" t="s">
        <v>13</v>
      </c>
      <c r="B8" s="5" t="s">
        <v>14</v>
      </c>
      <c r="C8" s="5" t="s">
        <v>15</v>
      </c>
      <c r="D8" s="6" t="n">
        <v>468000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s">
        <v>18</v>
      </c>
      <c r="D9" s="6" t="n">
        <v>985000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21</v>
      </c>
      <c r="D10" s="6" t="n">
        <v>50000</v>
      </c>
    </row>
    <row r="11" customFormat="false" ht="15" hidden="false" customHeight="false" outlineLevel="0" collapsed="false">
      <c r="A11" s="7"/>
      <c r="B11" s="8" t="s">
        <v>22</v>
      </c>
      <c r="C11" s="7"/>
      <c r="D11" s="9" t="n">
        <f aca="false">SUM(D6:D10)</f>
        <v>3485000</v>
      </c>
    </row>
    <row r="14" customFormat="false" ht="15" hidden="false" customHeight="false" outlineLevel="0" collapsed="false">
      <c r="A14" s="3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</row>
    <row r="16" customFormat="false" ht="15" hidden="false" customHeight="false" outlineLevel="0" collapsed="false">
      <c r="A16" s="5" t="s">
        <v>29</v>
      </c>
      <c r="B16" s="5" t="n">
        <v>1860</v>
      </c>
      <c r="C16" s="6" t="n">
        <v>268</v>
      </c>
      <c r="D16" s="6" t="n">
        <f aca="false">B16*C16</f>
        <v>498480</v>
      </c>
      <c r="E16" s="10" t="s">
        <v>30</v>
      </c>
    </row>
    <row r="17" customFormat="false" ht="15" hidden="false" customHeight="false" outlineLevel="0" collapsed="false">
      <c r="A17" s="5" t="s">
        <v>31</v>
      </c>
      <c r="B17" s="5" t="n">
        <v>940</v>
      </c>
      <c r="C17" s="6" t="n">
        <v>498</v>
      </c>
      <c r="D17" s="6" t="n">
        <f aca="false">B17*C17</f>
        <v>468120</v>
      </c>
      <c r="E17" s="10" t="s">
        <v>32</v>
      </c>
    </row>
    <row r="18" customFormat="false" ht="15" hidden="false" customHeight="false" outlineLevel="0" collapsed="false">
      <c r="A18" s="5" t="s">
        <v>33</v>
      </c>
      <c r="B18" s="5" t="n">
        <v>940</v>
      </c>
      <c r="C18" s="6" t="n">
        <v>195</v>
      </c>
      <c r="D18" s="6" t="n">
        <f aca="false">B18*C18</f>
        <v>183300</v>
      </c>
      <c r="E18" s="10" t="s">
        <v>34</v>
      </c>
    </row>
    <row r="19" customFormat="false" ht="15" hidden="false" customHeight="false" outlineLevel="0" collapsed="false">
      <c r="A19" s="5" t="s">
        <v>35</v>
      </c>
      <c r="B19" s="5" t="n">
        <v>940</v>
      </c>
      <c r="C19" s="6" t="n">
        <v>96</v>
      </c>
      <c r="D19" s="6" t="n">
        <f aca="false">B19*C19</f>
        <v>90240</v>
      </c>
      <c r="E19" s="10" t="s">
        <v>36</v>
      </c>
    </row>
    <row r="20" customFormat="false" ht="15" hidden="false" customHeight="false" outlineLevel="0" collapsed="false">
      <c r="A20" s="5" t="s">
        <v>37</v>
      </c>
      <c r="B20" s="5" t="n">
        <v>1860</v>
      </c>
      <c r="C20" s="6" t="n">
        <v>0</v>
      </c>
      <c r="D20" s="6" t="n">
        <f aca="false">B20*C20</f>
        <v>0</v>
      </c>
      <c r="E20" s="10" t="s">
        <v>38</v>
      </c>
    </row>
    <row r="21" customFormat="false" ht="15" hidden="false" customHeight="false" outlineLevel="0" collapsed="false">
      <c r="A21" s="11" t="s">
        <v>39</v>
      </c>
      <c r="B21" s="12"/>
      <c r="C21" s="12"/>
      <c r="D21" s="13" t="n">
        <f aca="false">SUM(D16:D20)</f>
        <v>1240140</v>
      </c>
      <c r="E21" s="10" t="s">
        <v>40</v>
      </c>
    </row>
    <row r="24" customFormat="false" ht="15" hidden="false" customHeight="false" outlineLevel="0" collapsed="false">
      <c r="A24" s="3" t="s">
        <v>41</v>
      </c>
    </row>
    <row r="25" customFormat="false" ht="26.85" hidden="false" customHeight="false" outlineLevel="0" collapsed="false">
      <c r="A25" s="4" t="s">
        <v>42</v>
      </c>
      <c r="B25" s="4" t="s">
        <v>43</v>
      </c>
      <c r="C25" s="4" t="s">
        <v>44</v>
      </c>
    </row>
    <row r="26" customFormat="false" ht="15" hidden="false" customHeight="false" outlineLevel="0" collapsed="false">
      <c r="A26" s="5" t="s">
        <v>45</v>
      </c>
      <c r="B26" s="5" t="n">
        <v>41</v>
      </c>
      <c r="C26" s="6" t="n">
        <v>388000</v>
      </c>
    </row>
    <row r="27" customFormat="false" ht="15" hidden="false" customHeight="false" outlineLevel="0" collapsed="false">
      <c r="A27" s="5" t="s">
        <v>46</v>
      </c>
      <c r="B27" s="5" t="n">
        <v>12</v>
      </c>
      <c r="C27" s="6" t="n">
        <v>121000</v>
      </c>
    </row>
    <row r="28" customFormat="false" ht="15" hidden="false" customHeight="false" outlineLevel="0" collapsed="false">
      <c r="A28" s="5" t="s">
        <v>47</v>
      </c>
      <c r="B28" s="5" t="n">
        <v>27</v>
      </c>
      <c r="C28" s="6" t="n">
        <v>168000</v>
      </c>
    </row>
    <row r="29" customFormat="false" ht="15" hidden="false" customHeight="false" outlineLevel="0" collapsed="false">
      <c r="A29" s="5" t="s">
        <v>48</v>
      </c>
      <c r="B29" s="5" t="n">
        <v>0</v>
      </c>
      <c r="C29" s="6" t="n">
        <v>65000</v>
      </c>
    </row>
    <row r="30" customFormat="false" ht="15" hidden="false" customHeight="false" outlineLevel="0" collapsed="false">
      <c r="A30" s="11" t="s">
        <v>49</v>
      </c>
      <c r="B30" s="12"/>
      <c r="C30" s="13" t="n">
        <f aca="false">SUM(C26:C29)</f>
        <v>742000</v>
      </c>
    </row>
    <row r="33" customFormat="false" ht="15" hidden="false" customHeight="false" outlineLevel="0" collapsed="false">
      <c r="A33" s="3" t="s">
        <v>50</v>
      </c>
    </row>
    <row r="34" customFormat="false" ht="15" hidden="false" customHeight="false" outlineLevel="0" collapsed="false">
      <c r="A34" s="4" t="s">
        <v>24</v>
      </c>
      <c r="B34" s="4" t="s">
        <v>25</v>
      </c>
      <c r="C34" s="4" t="s">
        <v>51</v>
      </c>
      <c r="D34" s="4" t="s">
        <v>27</v>
      </c>
    </row>
    <row r="35" customFormat="false" ht="15" hidden="false" customHeight="false" outlineLevel="0" collapsed="false">
      <c r="A35" s="5" t="s">
        <v>52</v>
      </c>
      <c r="B35" s="5" t="n">
        <v>610</v>
      </c>
      <c r="C35" s="6" t="n">
        <v>560</v>
      </c>
      <c r="D35" s="6" t="n">
        <f aca="false">B35*C35</f>
        <v>341600</v>
      </c>
    </row>
    <row r="36" customFormat="false" ht="15" hidden="false" customHeight="false" outlineLevel="0" collapsed="false">
      <c r="A36" s="5" t="s">
        <v>53</v>
      </c>
      <c r="B36" s="5" t="n">
        <v>610</v>
      </c>
      <c r="C36" s="6" t="n">
        <v>168</v>
      </c>
      <c r="D36" s="6" t="n">
        <f aca="false">B36*C36</f>
        <v>102480</v>
      </c>
    </row>
    <row r="37" customFormat="false" ht="15" hidden="false" customHeight="false" outlineLevel="0" collapsed="false">
      <c r="A37" s="5" t="s">
        <v>54</v>
      </c>
      <c r="B37" s="5" t="n">
        <v>1</v>
      </c>
      <c r="C37" s="6" t="n">
        <v>44000</v>
      </c>
      <c r="D37" s="6" t="n">
        <f aca="false">B37*C37</f>
        <v>44000</v>
      </c>
    </row>
    <row r="38" customFormat="false" ht="15" hidden="false" customHeight="false" outlineLevel="0" collapsed="false">
      <c r="A38" s="5" t="s">
        <v>55</v>
      </c>
      <c r="B38" s="5" t="n">
        <v>3</v>
      </c>
      <c r="C38" s="6" t="n">
        <v>8000</v>
      </c>
      <c r="D38" s="6" t="n">
        <f aca="false">B38*C38</f>
        <v>24000</v>
      </c>
    </row>
    <row r="39" customFormat="false" ht="15" hidden="false" customHeight="false" outlineLevel="0" collapsed="false">
      <c r="A39" s="11" t="s">
        <v>56</v>
      </c>
      <c r="B39" s="12"/>
      <c r="C39" s="12"/>
      <c r="D39" s="13" t="n">
        <f aca="false">SUM(D35:D38)</f>
        <v>512080</v>
      </c>
    </row>
    <row r="42" customFormat="false" ht="15" hidden="false" customHeight="false" outlineLevel="0" collapsed="false">
      <c r="A42" s="3" t="s">
        <v>57</v>
      </c>
    </row>
    <row r="43" customFormat="false" ht="15" hidden="false" customHeight="false" outlineLevel="0" collapsed="false">
      <c r="A43" s="4" t="s">
        <v>58</v>
      </c>
      <c r="B43" s="4" t="s">
        <v>59</v>
      </c>
    </row>
    <row r="44" customFormat="false" ht="15" hidden="false" customHeight="false" outlineLevel="0" collapsed="false">
      <c r="A44" s="5" t="s">
        <v>60</v>
      </c>
      <c r="B44" s="14" t="n">
        <v>520</v>
      </c>
    </row>
    <row r="45" customFormat="false" ht="15" hidden="false" customHeight="false" outlineLevel="0" collapsed="false">
      <c r="A45" s="5" t="s">
        <v>61</v>
      </c>
      <c r="B45" s="15" t="n">
        <v>640</v>
      </c>
    </row>
    <row r="46" customFormat="false" ht="15" hidden="false" customHeight="false" outlineLevel="0" collapsed="false">
      <c r="A46" s="5" t="s">
        <v>62</v>
      </c>
      <c r="B46" s="14" t="n">
        <v>3</v>
      </c>
    </row>
    <row r="47" customFormat="false" ht="15" hidden="false" customHeight="false" outlineLevel="0" collapsed="false">
      <c r="A47" s="5" t="s">
        <v>63</v>
      </c>
      <c r="B47" s="16" t="n">
        <v>0.062</v>
      </c>
    </row>
    <row r="48" customFormat="false" ht="15" hidden="false" customHeight="false" outlineLevel="0" collapsed="false">
      <c r="A48" s="5" t="s">
        <v>64</v>
      </c>
      <c r="B48" s="6" t="n">
        <f aca="false">B44*B45*B46</f>
        <v>998400</v>
      </c>
    </row>
    <row r="49" customFormat="false" ht="15" hidden="false" customHeight="false" outlineLevel="0" collapsed="false">
      <c r="A49" s="5" t="s">
        <v>65</v>
      </c>
      <c r="B49" s="6" t="n">
        <f aca="false">-B48*B47</f>
        <v>-61900.8</v>
      </c>
    </row>
    <row r="50" customFormat="false" ht="15" hidden="false" customHeight="false" outlineLevel="0" collapsed="false">
      <c r="A50" s="8" t="s">
        <v>66</v>
      </c>
      <c r="B50" s="9" t="n">
        <f aca="false">B48+B49</f>
        <v>936499.2</v>
      </c>
    </row>
    <row r="53" customFormat="false" ht="15" hidden="false" customHeight="false" outlineLevel="0" collapsed="false">
      <c r="A53" s="17" t="s">
        <v>67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2026-07-01T12:10:18Z</dcterms:created>
  <dc:creator>openpyxl</dc:creator>
  <dc:description/>
  <dc:language>en-US</dc:language>
  <cp:lastModifiedBy/>
  <dcterms:modified xsi:type="dcterms:W3CDTF">2026-07-01T12:10:18Z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