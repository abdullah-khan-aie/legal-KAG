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Tracker Y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<sst xmlns="http://schemas.openxmlformats.org/spreadsheetml/2006/main" count="63" uniqueCount="53">
  <si>
    <t xml:space="preserve">Stratton Energy — Year 1 Order &amp; Delivery Tracker</t>
  </si>
  <si>
    <t xml:space="preserve">Tracks Orders placed under WC-00150 supply agreement; OTIF KPI target 97%.</t>
  </si>
  <si>
    <t xml:space="preserve">PO No.</t>
  </si>
  <si>
    <t xml:space="preserve">Date ordered</t>
  </si>
  <si>
    <t xml:space="preserve">Part No.</t>
  </si>
  <si>
    <t xml:space="preserve">Qty</t>
  </si>
  <si>
    <t xml:space="preserve">Site</t>
  </si>
  <si>
    <t xml:space="preserve">Unit price (£)</t>
  </si>
  <si>
    <t xml:space="preserve">Line value (£)</t>
  </si>
  <si>
    <t xml:space="preserve">Required date</t>
  </si>
  <si>
    <t xml:space="preserve">Delivered date</t>
  </si>
  <si>
    <t xml:space="preserve">On time?</t>
  </si>
  <si>
    <t xml:space="preserve">SE-PO-50118</t>
  </si>
  <si>
    <t xml:space="preserve">2025-05-06</t>
  </si>
  <si>
    <t xml:space="preserve">HX-200-BP</t>
  </si>
  <si>
    <t xml:space="preserve">Calderbridge EfW</t>
  </si>
  <si>
    <t xml:space="preserve">2025-06-30</t>
  </si>
  <si>
    <t xml:space="preserve">2025-06-27</t>
  </si>
  <si>
    <t xml:space="preserve">SE-PO-50119</t>
  </si>
  <si>
    <t xml:space="preserve">HX-SEAL-K</t>
  </si>
  <si>
    <t xml:space="preserve">2025-06-12</t>
  </si>
  <si>
    <t xml:space="preserve">2025-06-11</t>
  </si>
  <si>
    <t xml:space="preserve">SE-PO-50204</t>
  </si>
  <si>
    <t xml:space="preserve">2025-06-18</t>
  </si>
  <si>
    <t xml:space="preserve">HX-300-PS</t>
  </si>
  <si>
    <t xml:space="preserve">Tilbury CCGT</t>
  </si>
  <si>
    <t xml:space="preserve">2025-09-01</t>
  </si>
  <si>
    <t xml:space="preserve">2025-09-05</t>
  </si>
  <si>
    <t xml:space="preserve">SE-PO-50231</t>
  </si>
  <si>
    <t xml:space="preserve">2025-07-22</t>
  </si>
  <si>
    <t xml:space="preserve">HX-150-CW</t>
  </si>
  <si>
    <t xml:space="preserve">Greenford WTW</t>
  </si>
  <si>
    <t xml:space="preserve">2025-09-15</t>
  </si>
  <si>
    <t xml:space="preserve">2025-09-12</t>
  </si>
  <si>
    <t xml:space="preserve">SE-PO-50260</t>
  </si>
  <si>
    <t xml:space="preserve">2025-08-14</t>
  </si>
  <si>
    <t xml:space="preserve">2025-10-10</t>
  </si>
  <si>
    <t xml:space="preserve">2025-10-09</t>
  </si>
  <si>
    <t xml:space="preserve">SE-PO-50312</t>
  </si>
  <si>
    <t xml:space="preserve">2025-10-02</t>
  </si>
  <si>
    <t xml:space="preserve">2025-12-20</t>
  </si>
  <si>
    <t xml:space="preserve">2025-12-22</t>
  </si>
  <si>
    <t xml:space="preserve">SE-PO-50355</t>
  </si>
  <si>
    <t xml:space="preserve">2025-11-19</t>
  </si>
  <si>
    <t xml:space="preserve">2026-01-15</t>
  </si>
  <si>
    <t xml:space="preserve">2026-01-14</t>
  </si>
  <si>
    <t xml:space="preserve">SE-PO-50390</t>
  </si>
  <si>
    <t xml:space="preserve">2026-01-08</t>
  </si>
  <si>
    <t xml:space="preserve">2026-03-01</t>
  </si>
  <si>
    <t xml:space="preserve">2026-02-26</t>
  </si>
  <si>
    <t xml:space="preserve">Total Y1 spend:</t>
  </si>
  <si>
    <t xml:space="preserve">OTIF (on-time lines):</t>
  </si>
  <si>
    <t xml:space="preserve">Min. commitment £3.2m met?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</si>
</sst>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n">
        <v>4</v>
      </c>
      <c r="E5" s="4" t="s">
        <v>15</v>
      </c>
      <c r="F5" s="6" t="n">
        <v>42750</v>
      </c>
      <c r="G5" s="7" t="n">
        <f aca="false">D5*F5</f>
        <v>171000</v>
      </c>
      <c r="H5" s="4" t="s">
        <v>16</v>
      </c>
      <c r="I5" s="4" t="s">
        <v>17</v>
      </c>
      <c r="J5" s="4" t="str">
        <f aca="false">IF(I5&lt;=H5,"Yes","No")</f>
        <v>Yes</v>
      </c>
    </row>
    <row r="6" customFormat="false" ht="15" hidden="false" customHeight="false" outlineLevel="0" collapsed="false">
      <c r="A6" s="4" t="s">
        <v>18</v>
      </c>
      <c r="B6" s="4" t="s">
        <v>13</v>
      </c>
      <c r="C6" s="4" t="s">
        <v>19</v>
      </c>
      <c r="D6" s="5" t="n">
        <v>30</v>
      </c>
      <c r="E6" s="4" t="s">
        <v>15</v>
      </c>
      <c r="F6" s="6" t="n">
        <v>2150</v>
      </c>
      <c r="G6" s="7" t="n">
        <f aca="false">D6*F6</f>
        <v>64500</v>
      </c>
      <c r="H6" s="4" t="s">
        <v>20</v>
      </c>
      <c r="I6" s="4" t="s">
        <v>21</v>
      </c>
      <c r="J6" s="4" t="str">
        <f aca="false">IF(I6&lt;=H6,"Yes","No")</f>
        <v>Yes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24</v>
      </c>
      <c r="D7" s="5" t="n">
        <v>3</v>
      </c>
      <c r="E7" s="4" t="s">
        <v>25</v>
      </c>
      <c r="F7" s="6" t="n">
        <v>67500</v>
      </c>
      <c r="G7" s="7" t="n">
        <f aca="false">D7*F7</f>
        <v>202500</v>
      </c>
      <c r="H7" s="4" t="s">
        <v>26</v>
      </c>
      <c r="I7" s="4" t="s">
        <v>27</v>
      </c>
      <c r="J7" s="4" t="str">
        <f aca="false">IF(I7&lt;=H7,"Yes","No")</f>
        <v>No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5" t="n">
        <v>12</v>
      </c>
      <c r="E8" s="4" t="s">
        <v>31</v>
      </c>
      <c r="F8" s="6" t="n">
        <v>18400</v>
      </c>
      <c r="G8" s="7" t="n">
        <f aca="false">D8*F8</f>
        <v>220800</v>
      </c>
      <c r="H8" s="4" t="s">
        <v>32</v>
      </c>
      <c r="I8" s="4" t="s">
        <v>33</v>
      </c>
      <c r="J8" s="4" t="str">
        <f aca="false">IF(I8&lt;=H8,"Yes","No")</f>
        <v>Yes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14</v>
      </c>
      <c r="D9" s="5" t="n">
        <v>2</v>
      </c>
      <c r="E9" s="4" t="s">
        <v>25</v>
      </c>
      <c r="F9" s="6" t="n">
        <v>42750</v>
      </c>
      <c r="G9" s="7" t="n">
        <f aca="false">D9*F9</f>
        <v>85500</v>
      </c>
      <c r="H9" s="4" t="s">
        <v>36</v>
      </c>
      <c r="I9" s="4" t="s">
        <v>37</v>
      </c>
      <c r="J9" s="4" t="str">
        <f aca="false">IF(I9&lt;=H9,"Yes","No")</f>
        <v>Yes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s">
        <v>24</v>
      </c>
      <c r="D10" s="5" t="n">
        <v>2</v>
      </c>
      <c r="E10" s="4" t="s">
        <v>15</v>
      </c>
      <c r="F10" s="6" t="n">
        <v>67500</v>
      </c>
      <c r="G10" s="7" t="n">
        <f aca="false">D10*F10</f>
        <v>135000</v>
      </c>
      <c r="H10" s="4" t="s">
        <v>40</v>
      </c>
      <c r="I10" s="4" t="s">
        <v>41</v>
      </c>
      <c r="J10" s="4" t="str">
        <f aca="false">IF(I10&lt;=H10,"Yes","No")</f>
        <v>No</v>
      </c>
    </row>
    <row r="11" customFormat="false" ht="15" hidden="false" customHeight="false" outlineLevel="0" collapsed="false">
      <c r="A11" s="4" t="s">
        <v>42</v>
      </c>
      <c r="B11" s="4" t="s">
        <v>43</v>
      </c>
      <c r="C11" s="4" t="s">
        <v>19</v>
      </c>
      <c r="D11" s="5" t="n">
        <v>24</v>
      </c>
      <c r="E11" s="4" t="s">
        <v>31</v>
      </c>
      <c r="F11" s="6" t="n">
        <v>2150</v>
      </c>
      <c r="G11" s="7" t="n">
        <f aca="false">D11*F11</f>
        <v>51600</v>
      </c>
      <c r="H11" s="4" t="s">
        <v>44</v>
      </c>
      <c r="I11" s="4" t="s">
        <v>45</v>
      </c>
      <c r="J11" s="4" t="str">
        <f aca="false">IF(I11&lt;=H11,"Yes","No")</f>
        <v>Yes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30</v>
      </c>
      <c r="D12" s="5" t="n">
        <v>8</v>
      </c>
      <c r="E12" s="4" t="s">
        <v>25</v>
      </c>
      <c r="F12" s="6" t="n">
        <v>18400</v>
      </c>
      <c r="G12" s="7" t="n">
        <f aca="false">D12*F12</f>
        <v>147200</v>
      </c>
      <c r="H12" s="4" t="s">
        <v>48</v>
      </c>
      <c r="I12" s="4" t="s">
        <v>49</v>
      </c>
      <c r="J12" s="4" t="str">
        <f aca="false">IF(I12&lt;=H12,"Yes","No")</f>
        <v>Yes</v>
      </c>
    </row>
    <row r="13" customFormat="false" ht="15" hidden="false" customHeight="false" outlineLevel="0" collapsed="false">
      <c r="F13" s="8" t="s">
        <v>50</v>
      </c>
      <c r="G13" s="9" t="n">
        <f aca="false">SUM(G5:G12)</f>
        <v>1078100</v>
      </c>
    </row>
    <row r="14" customFormat="false" ht="15" hidden="false" customHeight="false" outlineLevel="0" collapsed="false">
      <c r="F14" s="8" t="s">
        <v>51</v>
      </c>
      <c r="G14" s="10" t="n">
        <f aca="false">COUNTIF(J5:J12,"Yes")/COUNTA(J5:J12)</f>
        <v>0.75</v>
      </c>
    </row>
    <row r="15" customFormat="false" ht="15" hidden="false" customHeight="false" outlineLevel="0" collapsed="false">
      <c r="F15" s="8" t="s">
        <v>52</v>
      </c>
      <c r="G15" s="11" t="str">
        <f aca="false">IF(G13&gt;=3200000,"Yes","No - shortfall")</f>
        <v>No - shortfall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2026-06-26T23:03:01Z</dcterms:created>
  <dc:creator>openpyxl</dc:creator>
  <dc:description/>
  <dc:language>en-US</dc:language>
  <cp:lastModifiedBy/>
  <dcterms:modified xsi:type="dcterms:W3CDTF">2026-06-26T23:03:01Z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