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ing Schedule" sheetId="1" state="visible" r:id="rId3"/>
    <sheet name="Annual Spend Projection" sheetId="2" state="visible" r:id="rId4"/>
    <sheet name="Liability Ca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<sst xmlns="http://schemas.openxmlformats.org/spreadsheetml/2006/main" count="57" uniqueCount="51">
  <si>
    <t xml:space="preserve">Harrow Precision Engineering — Stratton Energy plc</t>
  </si>
  <si>
    <t xml:space="preserve">Supply Agreement WC-00150 — Pricing &amp; Volume Model (Schedule 3)</t>
  </si>
  <si>
    <t xml:space="preserve">Prepared by Whitfield Carter LLP — fixed Year 1; annual index review capped at 4%. All figures ex VAT.</t>
  </si>
  <si>
    <t xml:space="preserve">Part No.</t>
  </si>
  <si>
    <t xml:space="preserve">Product</t>
  </si>
  <si>
    <t xml:space="preserve">Unit list price (£)</t>
  </si>
  <si>
    <t xml:space="preserve">Vol. disc. tier 1 (5%)</t>
  </si>
  <si>
    <t xml:space="preserve">Tier 2 (8%)</t>
  </si>
  <si>
    <t xml:space="preserve">Tier 3 (11%)</t>
  </si>
  <si>
    <t xml:space="preserve">HX-150-CW</t>
  </si>
  <si>
    <t xml:space="preserve">HX-Series end-suction pump 150mm</t>
  </si>
  <si>
    <t xml:space="preserve">HX-200-BP</t>
  </si>
  <si>
    <t xml:space="preserve">HX-Series packaged booster set 200mm</t>
  </si>
  <si>
    <t xml:space="preserve">HX-300-PS</t>
  </si>
  <si>
    <t xml:space="preserve">HX-Series split-case process pump 300mm</t>
  </si>
  <si>
    <t xml:space="preserve">HX-SEAL-K</t>
  </si>
  <si>
    <t xml:space="preserve">Mechanical seal cartridge kit</t>
  </si>
  <si>
    <t xml:space="preserve">Volume discount tiers (aggregate annual order value, ex VAT)</t>
  </si>
  <si>
    <t xml:space="preserve">Tier</t>
  </si>
  <si>
    <t xml:space="preserve">Lower (£)</t>
  </si>
  <si>
    <t xml:space="preserve">Upper (£)</t>
  </si>
  <si>
    <t xml:space="preserve">Discount</t>
  </si>
  <si>
    <t xml:space="preserve">1 (up to commitment)</t>
  </si>
  <si>
    <t xml:space="preserve">2</t>
  </si>
  <si>
    <t xml:space="preserve">3 (over £5m)</t>
  </si>
  <si>
    <t xml:space="preserve">5-Year Spend Projection vs Minimum Purchase Commitment</t>
  </si>
  <si>
    <t xml:space="preserve">Minimum Purchase Commitment (clause 4): £3,200,000 / Contract Year. Shortfall payment 15% of any under-delivery.</t>
  </si>
  <si>
    <t xml:space="preserve">Assumptions</t>
  </si>
  <si>
    <t xml:space="preserve">Minimum Purchase Commitment (£/yr)</t>
  </si>
  <si>
    <t xml:space="preserve">Shortfall payment rate</t>
  </si>
  <si>
    <t xml:space="preserve">Annual price index cap</t>
  </si>
  <si>
    <t xml:space="preserve">Contract Year</t>
  </si>
  <si>
    <t xml:space="preserve">Forecast order value (£)</t>
  </si>
  <si>
    <t xml:space="preserve">Min. commitment (£)</t>
  </si>
  <si>
    <t xml:space="preserve">Shortfall vs commitment (£)</t>
  </si>
  <si>
    <t xml:space="preserve">Shortfall payment due (£)</t>
  </si>
  <si>
    <t xml:space="preserve">Cum. spend (£)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</si>
  <si>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</si>
  <si>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</si>
  <si>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</si>
  <si>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</si>
  <si>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</si>
  <si>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Total / Cap status</t>
  </si>
  <si>
    <t xml:space="preserve">Liability Cap Illustration (clause 11.3 — executed: 125% of trailing 12m charges)</t>
  </si>
  <si>
    <t xml:space="preserve">Executed general cap %</t>
  </si>
  <si>
    <t xml:space="preserve">Executed IP indemnity sub-cap %</t>
  </si>
  <si>
    <t xml:space="preserve">LDs for late delivery (count towards cap?)</t>
  </si>
  <si>
    <t xml:space="preserve">Yes — within cap</t>
  </si>
  <si>
    <t xml:space="preserve">Charges paid trailing 12m (£)</t>
  </si>
  <si>
    <t xml:space="preserve">General liability cap (£)</t>
  </si>
  <si>
    <t xml:space="preserve">IP indemnity sub-cap (£)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</si>
</sst>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;&quot;(£&quot;#,##0\);\-"/>
    <numFmt numFmtId="166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4" min="3" style="0" width="16"/>
    <col collapsed="false" customWidth="true" hidden="false" outlineLevel="0" max="6" min="5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26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s">
        <v>9</v>
      </c>
      <c r="B6" s="5" t="s">
        <v>10</v>
      </c>
      <c r="C6" s="6" t="n">
        <v>18400</v>
      </c>
      <c r="D6" s="7" t="n">
        <f aca="false">C6*(1-0.05)</f>
        <v>17480</v>
      </c>
      <c r="E6" s="7" t="n">
        <f aca="false">C6*(1-0.08)</f>
        <v>16928</v>
      </c>
      <c r="F6" s="7" t="n">
        <f aca="false">C6*(1-0.11)</f>
        <v>16376</v>
      </c>
    </row>
    <row r="7" customFormat="false" ht="15" hidden="false" customHeight="false" outlineLevel="0" collapsed="false">
      <c r="A7" s="5" t="s">
        <v>11</v>
      </c>
      <c r="B7" s="5" t="s">
        <v>12</v>
      </c>
      <c r="C7" s="6" t="n">
        <v>42750</v>
      </c>
      <c r="D7" s="7" t="n">
        <f aca="false">C7*(1-0.05)</f>
        <v>40612.5</v>
      </c>
      <c r="E7" s="7" t="n">
        <f aca="false">C7*(1-0.08)</f>
        <v>39330</v>
      </c>
      <c r="F7" s="7" t="n">
        <f aca="false">C7*(1-0.11)</f>
        <v>38047.5</v>
      </c>
    </row>
    <row r="8" customFormat="false" ht="15" hidden="false" customHeight="false" outlineLevel="0" collapsed="false">
      <c r="A8" s="5" t="s">
        <v>13</v>
      </c>
      <c r="B8" s="5" t="s">
        <v>14</v>
      </c>
      <c r="C8" s="6" t="n">
        <v>67500</v>
      </c>
      <c r="D8" s="7" t="n">
        <f aca="false">C8*(1-0.05)</f>
        <v>64125</v>
      </c>
      <c r="E8" s="7" t="n">
        <f aca="false">C8*(1-0.08)</f>
        <v>62100</v>
      </c>
      <c r="F8" s="7" t="n">
        <f aca="false">C8*(1-0.11)</f>
        <v>60075</v>
      </c>
    </row>
    <row r="9" customFormat="false" ht="15" hidden="false" customHeight="false" outlineLevel="0" collapsed="false">
      <c r="A9" s="5" t="s">
        <v>15</v>
      </c>
      <c r="B9" s="5" t="s">
        <v>16</v>
      </c>
      <c r="C9" s="6" t="n">
        <v>2150</v>
      </c>
      <c r="D9" s="7" t="n">
        <f aca="false">C9*(1-0.05)</f>
        <v>2042.5</v>
      </c>
      <c r="E9" s="7" t="n">
        <f aca="false">C9*(1-0.08)</f>
        <v>1978</v>
      </c>
      <c r="F9" s="7" t="n">
        <f aca="false">C9*(1-0.11)</f>
        <v>1913.5</v>
      </c>
    </row>
    <row r="12" customFormat="false" ht="15" hidden="false" customHeight="false" outlineLevel="0" collapsed="false">
      <c r="A12" s="8" t="s">
        <v>17</v>
      </c>
    </row>
    <row r="13" customFormat="false" ht="15" hidden="false" customHeight="false" outlineLevel="0" collapsed="false">
      <c r="A13" s="4" t="s">
        <v>18</v>
      </c>
      <c r="B13" s="4" t="s">
        <v>19</v>
      </c>
      <c r="C13" s="4" t="s">
        <v>20</v>
      </c>
      <c r="D13" s="4" t="s">
        <v>21</v>
      </c>
    </row>
    <row r="14" customFormat="false" ht="15" hidden="false" customHeight="false" outlineLevel="0" collapsed="false">
      <c r="A14" s="5" t="s">
        <v>22</v>
      </c>
      <c r="B14" s="6" t="n">
        <v>0</v>
      </c>
      <c r="C14" s="6" t="n">
        <v>3200000</v>
      </c>
      <c r="D14" s="9" t="n">
        <v>0.05</v>
      </c>
    </row>
    <row r="15" customFormat="false" ht="15" hidden="false" customHeight="false" outlineLevel="0" collapsed="false">
      <c r="A15" s="5" t="s">
        <v>23</v>
      </c>
      <c r="B15" s="6" t="n">
        <v>3200001</v>
      </c>
      <c r="C15" s="6" t="n">
        <v>5000000</v>
      </c>
      <c r="D15" s="9" t="n">
        <v>0.08</v>
      </c>
    </row>
    <row r="16" customFormat="false" ht="15" hidden="false" customHeight="false" outlineLevel="0" collapsed="false">
      <c r="A16" s="5" t="s">
        <v>24</v>
      </c>
      <c r="B16" s="6" t="n">
        <v>5000001</v>
      </c>
      <c r="C16" s="6" t="n">
        <v>99999999</v>
      </c>
      <c r="D16" s="9" t="n">
        <v>0.11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5" min="4" style="0" width="22"/>
    <col collapsed="false" customWidth="true" hidden="false" outlineLevel="0" max="6" min="6" style="0" width="18"/>
  </cols>
  <sheetData>
    <row r="1" customFormat="false" ht="16.15" hidden="false" customHeight="false" outlineLevel="0" collapsed="false">
      <c r="A1" s="10" t="s">
        <v>25</v>
      </c>
    </row>
    <row r="2" customFormat="false" ht="15" hidden="false" customHeight="false" outlineLevel="0" collapsed="false">
      <c r="A2" s="3" t="s">
        <v>26</v>
      </c>
    </row>
    <row r="4" customFormat="false" ht="15" hidden="false" customHeight="false" outlineLevel="0" collapsed="false">
      <c r="A4" s="8" t="s">
        <v>27</v>
      </c>
    </row>
    <row r="5" customFormat="false" ht="15" hidden="false" customHeight="false" outlineLevel="0" collapsed="false">
      <c r="A5" s="0" t="s">
        <v>28</v>
      </c>
      <c r="B5" s="11" t="n">
        <v>3200000</v>
      </c>
    </row>
    <row r="6" customFormat="false" ht="15" hidden="false" customHeight="false" outlineLevel="0" collapsed="false">
      <c r="A6" s="0" t="s">
        <v>29</v>
      </c>
      <c r="B6" s="12" t="n">
        <v>0.15</v>
      </c>
    </row>
    <row r="7" customFormat="false" ht="15" hidden="false" customHeight="false" outlineLevel="0" collapsed="false">
      <c r="A7" s="0" t="s">
        <v>30</v>
      </c>
      <c r="B7" s="12" t="n">
        <v>0.04</v>
      </c>
    </row>
    <row r="9" customFormat="false" ht="26.85" hidden="false" customHeight="false" outlineLevel="0" collapsed="false">
      <c r="A9" s="4" t="s">
        <v>31</v>
      </c>
      <c r="B9" s="4" t="s">
        <v>32</v>
      </c>
      <c r="C9" s="4" t="s">
        <v>33</v>
      </c>
      <c r="D9" s="4" t="s">
        <v>34</v>
      </c>
      <c r="E9" s="4" t="s">
        <v>35</v>
      </c>
      <c r="F9" s="4" t="s">
        <v>36</v>
      </c>
    </row>
    <row r="10" customFormat="false" ht="15" hidden="false" customHeight="false" outlineLevel="0" collapsed="false">
      <c r="A10" s="5" t="s">
        <v>37</v>
      </c>
      <c r="B10" s="6" t="n">
        <v>3050000</v>
      </c>
      <c r="C10" s="13" t="n">
        <f aca="false">$B$5</f>
        <v>3200000</v>
      </c>
      <c r="D10" s="7" t="n">
        <f aca="false">MAX(0,C10-B10)</f>
        <v>150000</v>
      </c>
      <c r="E10" s="7" t="n">
        <f aca="false">D10*$B$6</f>
        <v>22500</v>
      </c>
      <c r="F10" s="7" t="n">
        <f aca="false">B10</f>
        <v>3050000</v>
      </c>
    </row>
    <row r="11" customFormat="false" ht="15" hidden="false" customHeight="false" outlineLevel="0" collapsed="false">
      <c r="A11" s="5" t="s">
        <v>38</v>
      </c>
      <c r="B11" s="6" t="n">
        <v>3400000</v>
      </c>
      <c r="C11" s="13" t="n">
        <f aca="false">$B$5</f>
        <v>3200000</v>
      </c>
      <c r="D11" s="7" t="n">
        <f aca="false">MAX(0,C11-B11)</f>
        <v>0</v>
      </c>
      <c r="E11" s="7" t="n">
        <f aca="false">D11*$B$6</f>
        <v>0</v>
      </c>
      <c r="F11" s="7" t="n">
        <f aca="false">F10+B11</f>
        <v>6450000</v>
      </c>
    </row>
    <row r="12" customFormat="false" ht="15" hidden="false" customHeight="false" outlineLevel="0" collapsed="false">
      <c r="A12" s="5" t="s">
        <v>39</v>
      </c>
      <c r="B12" s="6" t="n">
        <v>3650000</v>
      </c>
      <c r="C12" s="13" t="n">
        <f aca="false">$B$5</f>
        <v>3200000</v>
      </c>
      <c r="D12" s="7" t="n">
        <f aca="false">MAX(0,C12-B12)</f>
        <v>0</v>
      </c>
      <c r="E12" s="7" t="n">
        <f aca="false">D12*$B$6</f>
        <v>0</v>
      </c>
      <c r="F12" s="7" t="n">
        <f aca="false">F11+B12</f>
        <v>10100000</v>
      </c>
    </row>
    <row r="13" customFormat="false" ht="15" hidden="false" customHeight="false" outlineLevel="0" collapsed="false">
      <c r="A13" s="5" t="s">
        <v>40</v>
      </c>
      <c r="B13" s="6" t="n">
        <v>3900000</v>
      </c>
      <c r="C13" s="13" t="n">
        <f aca="false">$B$5</f>
        <v>3200000</v>
      </c>
      <c r="D13" s="7" t="n">
        <f aca="false">MAX(0,C13-B13)</f>
        <v>0</v>
      </c>
      <c r="E13" s="7" t="n">
        <f aca="false">D13*$B$6</f>
        <v>0</v>
      </c>
      <c r="F13" s="7" t="n">
        <f aca="false">F12+B13</f>
        <v>14000000</v>
      </c>
    </row>
    <row r="14" customFormat="false" ht="15" hidden="false" customHeight="false" outlineLevel="0" collapsed="false">
      <c r="A14" s="5" t="s">
        <v>41</v>
      </c>
      <c r="B14" s="6" t="n">
        <v>4250000</v>
      </c>
      <c r="C14" s="13" t="n">
        <f aca="false">$B$5</f>
        <v>3200000</v>
      </c>
      <c r="D14" s="7" t="n">
        <f aca="false">MAX(0,C14-B14)</f>
        <v>0</v>
      </c>
      <c r="E14" s="7" t="n">
        <f aca="false">D14*$B$6</f>
        <v>0</v>
      </c>
      <c r="F14" s="7" t="n">
        <f aca="false">F13+B14</f>
        <v>18250000</v>
      </c>
    </row>
    <row r="15" customFormat="false" ht="15" hidden="false" customHeight="false" outlineLevel="0" collapsed="false">
      <c r="A15" s="14" t="s">
        <v>42</v>
      </c>
      <c r="B15" s="15" t="n">
        <f aca="false">SUM(B10:B14)</f>
        <v>18250000</v>
      </c>
      <c r="E15" s="15" t="n">
        <f aca="false">SUM(E10:E14)</f>
        <v>22500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4" min="3" style="0" width="24"/>
  </cols>
  <sheetData>
    <row r="1" customFormat="false" ht="15" hidden="false" customHeight="false" outlineLevel="0" collapsed="false">
      <c r="A1" s="16" t="s">
        <v>43</v>
      </c>
    </row>
    <row r="3" customFormat="false" ht="15" hidden="false" customHeight="false" outlineLevel="0" collapsed="false">
      <c r="A3" s="0" t="s">
        <v>44</v>
      </c>
      <c r="B3" s="12" t="n">
        <v>1.25</v>
      </c>
    </row>
    <row r="4" customFormat="false" ht="15" hidden="false" customHeight="false" outlineLevel="0" collapsed="false">
      <c r="A4" s="0" t="s">
        <v>45</v>
      </c>
      <c r="B4" s="12" t="n">
        <v>2</v>
      </c>
    </row>
    <row r="5" customFormat="false" ht="15" hidden="false" customHeight="false" outlineLevel="0" collapsed="false">
      <c r="A5" s="0" t="s">
        <v>46</v>
      </c>
      <c r="B5" s="17" t="s">
        <v>47</v>
      </c>
    </row>
    <row r="7" customFormat="false" ht="26.85" hidden="false" customHeight="false" outlineLevel="0" collapsed="false">
      <c r="A7" s="4" t="s">
        <v>31</v>
      </c>
      <c r="B7" s="4" t="s">
        <v>48</v>
      </c>
      <c r="C7" s="4" t="s">
        <v>49</v>
      </c>
      <c r="D7" s="4" t="s">
        <v>50</v>
      </c>
    </row>
    <row r="8" customFormat="false" ht="15" hidden="false" customHeight="false" outlineLevel="0" collapsed="false">
      <c r="A8" s="5" t="s">
        <v>37</v>
      </c>
      <c r="B8" s="13" t="n">
        <f aca="false">'Annual Spend Projection'!B10</f>
        <v>3050000</v>
      </c>
      <c r="C8" s="7" t="n">
        <f aca="false">B8*$B$3</f>
        <v>3812500</v>
      </c>
      <c r="D8" s="7" t="n">
        <f aca="false">B8*$B$4</f>
        <v>6100000</v>
      </c>
    </row>
    <row r="9" customFormat="false" ht="15" hidden="false" customHeight="false" outlineLevel="0" collapsed="false">
      <c r="A9" s="5" t="s">
        <v>38</v>
      </c>
      <c r="B9" s="13" t="n">
        <f aca="false">'Annual Spend Projection'!B11</f>
        <v>3400000</v>
      </c>
      <c r="C9" s="7" t="n">
        <f aca="false">B9*$B$3</f>
        <v>4250000</v>
      </c>
      <c r="D9" s="7" t="n">
        <f aca="false">B9*$B$4</f>
        <v>6800000</v>
      </c>
    </row>
    <row r="10" customFormat="false" ht="15" hidden="false" customHeight="false" outlineLevel="0" collapsed="false">
      <c r="A10" s="5" t="s">
        <v>39</v>
      </c>
      <c r="B10" s="13" t="n">
        <f aca="false">'Annual Spend Projection'!B12</f>
        <v>3650000</v>
      </c>
      <c r="C10" s="7" t="n">
        <f aca="false">B10*$B$3</f>
        <v>4562500</v>
      </c>
      <c r="D10" s="7" t="n">
        <f aca="false">B10*$B$4</f>
        <v>7300000</v>
      </c>
    </row>
    <row r="11" customFormat="false" ht="15" hidden="false" customHeight="false" outlineLevel="0" collapsed="false">
      <c r="A11" s="5" t="s">
        <v>40</v>
      </c>
      <c r="B11" s="13" t="n">
        <f aca="false">'Annual Spend Projection'!B13</f>
        <v>3900000</v>
      </c>
      <c r="C11" s="7" t="n">
        <f aca="false">B11*$B$3</f>
        <v>4875000</v>
      </c>
      <c r="D11" s="7" t="n">
        <f aca="false">B11*$B$4</f>
        <v>7800000</v>
      </c>
    </row>
    <row r="12" customFormat="false" ht="15" hidden="false" customHeight="false" outlineLevel="0" collapsed="false">
      <c r="A12" s="5" t="s">
        <v>41</v>
      </c>
      <c r="B12" s="13" t="n">
        <f aca="false">'Annual Spend Projection'!B14</f>
        <v>4250000</v>
      </c>
      <c r="C12" s="7" t="n">
        <f aca="false">B12*$B$3</f>
        <v>5312500</v>
      </c>
      <c r="D12" s="7" t="n">
        <f aca="false">B12*$B$4</f>
        <v>8500000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2026-06-26T23:03:01Z</dcterms:created>
  <dc:creator>openpyxl</dc:creator>
  <dc:description/>
  <dc:language>en-US</dc:language>
  <cp:lastModifiedBy/>
  <dcterms:modified xsi:type="dcterms:W3CDTF">2026-06-26T23:03:01Z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