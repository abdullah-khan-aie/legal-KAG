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Year1_PriceList" sheetId="2" state="visible" r:id="rId4"/>
    <sheet name="Year1_VolumePlan" sheetId="3" state="visible" r:id="rId5"/>
    <sheet name="5yr_Proj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<sst xmlns="http://schemas.openxmlformats.org/spreadsheetml/2006/main" count="105" uniqueCount="74">
  <si>
    <t xml:space="preserve">Calderwater Utilities Limited — Master Manufacture &amp; Supply Agreement</t>
  </si>
  <si>
    <t xml:space="preserve">Schedule 3 — Pricing &amp; Volume Model (Project Aquilo, WC-00167)</t>
  </si>
  <si>
    <t xml:space="preserve">Prepared by Whitfield Carter LLP for Harrow Precision Engineering Limited.  Blue cells = inputs.</t>
  </si>
  <si>
    <t xml:space="preserve">Key commercial assumptions</t>
  </si>
  <si>
    <t xml:space="preserve">Term (years)</t>
  </si>
  <si>
    <t xml:space="preserve">Initial Term (clause 2.2)</t>
  </si>
  <si>
    <t xml:space="preserve">Minimum Commitment per Contract Year (£ ex VAT)</t>
  </si>
  <si>
    <t xml:space="preserve">Clause 6.1</t>
  </si>
  <si>
    <t xml:space="preserve">Shortfall payment rate (% of shortfall)</t>
  </si>
  <si>
    <t xml:space="preserve">Clause 6.2 (negotiated from 15%)</t>
  </si>
  <si>
    <t xml:space="preserve">Estimated annual spend (£ ex VAT)</t>
  </si>
  <si>
    <t xml:space="preserve">Heads of Terms para 5 — indicative</t>
  </si>
  <si>
    <t xml:space="preserve">CPI indexation assumption (% p.a.)</t>
  </si>
  <si>
    <t xml:space="preserve">Forecast CPI</t>
  </si>
  <si>
    <t xml:space="preserve">CPI indexation cap (% p.a.)</t>
  </si>
  <si>
    <t xml:space="preserve">Clause 7.2 — cap</t>
  </si>
  <si>
    <t xml:space="preserve">Payment terms (days)</t>
  </si>
  <si>
    <t xml:space="preserve">Clause 8.1</t>
  </si>
  <si>
    <t xml:space="preserve">Warranty (months)</t>
  </si>
  <si>
    <t xml:space="preserve">Clause 9.1</t>
  </si>
  <si>
    <t xml:space="preserve">Liability cap (£ aggregate)</t>
  </si>
  <si>
    <t xml:space="preserve">Clause 11.3</t>
  </si>
  <si>
    <t xml:space="preserve">IP indemnity sub-cap (£)</t>
  </si>
  <si>
    <t xml:space="preserve">Schedule 3 — Year 1 Unit Prices (fixed for Contract Year 1; £ ex VAT)</t>
  </si>
  <si>
    <t xml:space="preserve">Ref</t>
  </si>
  <si>
    <t xml:space="preserve">Description</t>
  </si>
  <si>
    <t xml:space="preserve">Unit</t>
  </si>
  <si>
    <t xml:space="preserve">List price (£)</t>
  </si>
  <si>
    <t xml:space="preserve">Framework discount %</t>
  </si>
  <si>
    <t xml:space="preserve">Contract unit price (£)</t>
  </si>
  <si>
    <t xml:space="preserve">HX-200</t>
  </si>
  <si>
    <t xml:space="preserve">Dry-well centrifugal pump set, 200mm, 37 kW</t>
  </si>
  <si>
    <t xml:space="preserve">each</t>
  </si>
  <si>
    <t xml:space="preserve">HX-300</t>
  </si>
  <si>
    <t xml:space="preserve">Dry-well centrifugal pump set, 300mm, 90 kW</t>
  </si>
  <si>
    <t xml:space="preserve">SX-150</t>
  </si>
  <si>
    <t xml:space="preserve">Submersible wastewater pump, 150mm, 11 kW</t>
  </si>
  <si>
    <t xml:space="preserve">SX-250</t>
  </si>
  <si>
    <t xml:space="preserve">Submersible wastewater pump, 250mm, 30 kW</t>
  </si>
  <si>
    <t xml:space="preserve">CP-STD</t>
  </si>
  <si>
    <t xml:space="preserve">Motor control panel, IP54, soft-start, telemetry</t>
  </si>
  <si>
    <t xml:space="preserve">SP-SEAL</t>
  </si>
  <si>
    <t xml:space="preserve">Mechanical seal kit (SiC/SiC double)</t>
  </si>
  <si>
    <t xml:space="preserve">kit</t>
  </si>
  <si>
    <t xml:space="preserve">SP-IMP-HX</t>
  </si>
  <si>
    <t xml:space="preserve">Replacement impeller, HX range (duplex SS)</t>
  </si>
  <si>
    <t xml:space="preserve">SP-IMP-SX</t>
  </si>
  <si>
    <t xml:space="preserve">Replacement impeller, SX range</t>
  </si>
  <si>
    <t xml:space="preserve">SVC-COMM</t>
  </si>
  <si>
    <t xml:space="preserve">Commissioning visit (per pump set)</t>
  </si>
  <si>
    <t xml:space="preserve">visit</t>
  </si>
  <si>
    <t xml:space="preserve">SVC-PM</t>
  </si>
  <si>
    <t xml:space="preserve">Planned-maintenance visit (per set)</t>
  </si>
  <si>
    <t xml:space="preserve">Indicative Year 1 Order Plan (not a commitment per item; ties to Minimum Commitment)</t>
  </si>
  <si>
    <t xml:space="preserve">Indicative qty</t>
  </si>
  <si>
    <t xml:space="preserve">Line value (£)</t>
  </si>
  <si>
    <t xml:space="preserve">Total indicative Year 1 order value (£ ex VAT)</t>
  </si>
  <si>
    <t xml:space="preserve">Minimum Commitment (clause 6.1)</t>
  </si>
  <si>
    <t xml:space="preserve">Headroom over Minimum Commitment</t>
  </si>
  <si>
    <t xml:space="preserve">Illustrative shortfall if only Minimum Commitment value ordered:</t>
  </si>
  <si>
    <t xml:space="preserve">Shortfall payment if Year 1 orders = £2,800,000 (example)</t>
  </si>
  <si>
    <t xml:space="preserve">5-Year Spend Projection with CPI Indexation (capped at 4% p.a., clause 7.2)</t>
  </si>
  <si>
    <t xml:space="preserve">Contract Year</t>
  </si>
  <si>
    <t xml:space="preserve">Indexation applied %</t>
  </si>
  <si>
    <t xml:space="preserve">Price index (Yr1=1.000)</t>
  </si>
  <si>
    <t xml:space="preserve">Projected order value (£)</t>
  </si>
  <si>
    <t xml:space="preserve">Minimum Commitment (£)</t>
  </si>
  <si>
    <t xml:space="preserve">Meets minimum?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</si>
  <si>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</si>
  <si>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</si>
  <si>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</si>
  <si>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</si>
  <si>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</si>
  <si>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 (projected)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</si>
</sst>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.0%"/>
    <numFmt numFmtId="167" formatCode="\£#,##0.00"/>
    <numFmt numFmtId="168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5</v>
      </c>
      <c r="C6" s="7" t="s">
        <v>5</v>
      </c>
    </row>
    <row r="7" customFormat="false" ht="15" hidden="false" customHeight="false" outlineLevel="0" collapsed="false">
      <c r="A7" s="5" t="s">
        <v>6</v>
      </c>
      <c r="B7" s="8" t="n">
        <v>3500000</v>
      </c>
      <c r="C7" s="7" t="s">
        <v>7</v>
      </c>
    </row>
    <row r="8" customFormat="false" ht="15" hidden="false" customHeight="false" outlineLevel="0" collapsed="false">
      <c r="A8" s="5" t="s">
        <v>8</v>
      </c>
      <c r="B8" s="9" t="n">
        <v>0.08</v>
      </c>
      <c r="C8" s="7" t="s">
        <v>9</v>
      </c>
    </row>
    <row r="9" customFormat="false" ht="15" hidden="false" customHeight="false" outlineLevel="0" collapsed="false">
      <c r="A9" s="5" t="s">
        <v>10</v>
      </c>
      <c r="B9" s="8" t="n">
        <v>4200000</v>
      </c>
      <c r="C9" s="7" t="s">
        <v>11</v>
      </c>
    </row>
    <row r="10" customFormat="false" ht="15" hidden="false" customHeight="false" outlineLevel="0" collapsed="false">
      <c r="A10" s="5" t="s">
        <v>12</v>
      </c>
      <c r="B10" s="10" t="n">
        <v>0.035</v>
      </c>
      <c r="C10" s="7" t="s">
        <v>13</v>
      </c>
    </row>
    <row r="11" customFormat="false" ht="15" hidden="false" customHeight="false" outlineLevel="0" collapsed="false">
      <c r="A11" s="5" t="s">
        <v>14</v>
      </c>
      <c r="B11" s="9" t="n">
        <v>0.04</v>
      </c>
      <c r="C11" s="7" t="s">
        <v>15</v>
      </c>
    </row>
    <row r="12" customFormat="false" ht="15" hidden="false" customHeight="false" outlineLevel="0" collapsed="false">
      <c r="A12" s="5" t="s">
        <v>16</v>
      </c>
      <c r="B12" s="6" t="n">
        <v>45</v>
      </c>
      <c r="C12" s="7" t="s">
        <v>17</v>
      </c>
    </row>
    <row r="13" customFormat="false" ht="15" hidden="false" customHeight="false" outlineLevel="0" collapsed="false">
      <c r="A13" s="5" t="s">
        <v>18</v>
      </c>
      <c r="B13" s="6" t="n">
        <v>24</v>
      </c>
      <c r="C13" s="7" t="s">
        <v>19</v>
      </c>
    </row>
    <row r="14" customFormat="false" ht="15" hidden="false" customHeight="false" outlineLevel="0" collapsed="false">
      <c r="A14" s="5" t="s">
        <v>20</v>
      </c>
      <c r="B14" s="8" t="n">
        <v>4000000</v>
      </c>
      <c r="C14" s="7" t="s">
        <v>21</v>
      </c>
    </row>
    <row r="15" customFormat="false" ht="15" hidden="false" customHeight="false" outlineLevel="0" collapsed="false">
      <c r="A15" s="5" t="s">
        <v>22</v>
      </c>
      <c r="B15" s="8" t="n">
        <v>5000000</v>
      </c>
      <c r="C15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">
        <v>23</v>
      </c>
    </row>
    <row r="3" customFormat="false" ht="26.85" hidden="false" customHeight="false" outlineLevel="0" collapsed="false">
      <c r="A3" s="12" t="s">
        <v>24</v>
      </c>
      <c r="B3" s="12" t="s">
        <v>25</v>
      </c>
      <c r="C3" s="12" t="s">
        <v>26</v>
      </c>
      <c r="D3" s="12" t="s">
        <v>27</v>
      </c>
      <c r="E3" s="12" t="s">
        <v>28</v>
      </c>
      <c r="F3" s="12" t="s">
        <v>29</v>
      </c>
    </row>
    <row r="4" customFormat="false" ht="15" hidden="false" customHeight="false" outlineLevel="0" collapsed="false">
      <c r="A4" s="13" t="s">
        <v>30</v>
      </c>
      <c r="B4" s="14" t="s">
        <v>31</v>
      </c>
      <c r="C4" s="14" t="s">
        <v>32</v>
      </c>
      <c r="D4" s="15" t="n">
        <v>18500</v>
      </c>
      <c r="E4" s="16" t="n">
        <v>0.1</v>
      </c>
      <c r="F4" s="17" t="n">
        <f aca="false">D4*(1-E4)</f>
        <v>16650</v>
      </c>
    </row>
    <row r="5" customFormat="false" ht="15" hidden="false" customHeight="false" outlineLevel="0" collapsed="false">
      <c r="A5" s="18" t="s">
        <v>33</v>
      </c>
      <c r="B5" s="19" t="s">
        <v>34</v>
      </c>
      <c r="C5" s="19" t="s">
        <v>32</v>
      </c>
      <c r="D5" s="8" t="n">
        <v>41200</v>
      </c>
      <c r="E5" s="10" t="n">
        <v>0.1</v>
      </c>
      <c r="F5" s="20" t="n">
        <f aca="false">D5*(1-E5)</f>
        <v>37080</v>
      </c>
    </row>
    <row r="6" customFormat="false" ht="15" hidden="false" customHeight="false" outlineLevel="0" collapsed="false">
      <c r="A6" s="13" t="s">
        <v>35</v>
      </c>
      <c r="B6" s="14" t="s">
        <v>36</v>
      </c>
      <c r="C6" s="14" t="s">
        <v>32</v>
      </c>
      <c r="D6" s="15" t="n">
        <v>7400</v>
      </c>
      <c r="E6" s="16" t="n">
        <v>0.12</v>
      </c>
      <c r="F6" s="17" t="n">
        <f aca="false">D6*(1-E6)</f>
        <v>6512</v>
      </c>
    </row>
    <row r="7" customFormat="false" ht="15" hidden="false" customHeight="false" outlineLevel="0" collapsed="false">
      <c r="A7" s="18" t="s">
        <v>37</v>
      </c>
      <c r="B7" s="19" t="s">
        <v>38</v>
      </c>
      <c r="C7" s="19" t="s">
        <v>32</v>
      </c>
      <c r="D7" s="8" t="n">
        <v>15800</v>
      </c>
      <c r="E7" s="10" t="n">
        <v>0.12</v>
      </c>
      <c r="F7" s="20" t="n">
        <f aca="false">D7*(1-E7)</f>
        <v>13904</v>
      </c>
    </row>
    <row r="8" customFormat="false" ht="15" hidden="false" customHeight="false" outlineLevel="0" collapsed="false">
      <c r="A8" s="13" t="s">
        <v>39</v>
      </c>
      <c r="B8" s="14" t="s">
        <v>40</v>
      </c>
      <c r="C8" s="14" t="s">
        <v>32</v>
      </c>
      <c r="D8" s="15" t="n">
        <v>9600</v>
      </c>
      <c r="E8" s="16" t="n">
        <v>0.08</v>
      </c>
      <c r="F8" s="17" t="n">
        <f aca="false">D8*(1-E8)</f>
        <v>8832</v>
      </c>
    </row>
    <row r="9" customFormat="false" ht="15" hidden="false" customHeight="false" outlineLevel="0" collapsed="false">
      <c r="A9" s="18" t="s">
        <v>41</v>
      </c>
      <c r="B9" s="19" t="s">
        <v>42</v>
      </c>
      <c r="C9" s="19" t="s">
        <v>43</v>
      </c>
      <c r="D9" s="8" t="n">
        <v>640</v>
      </c>
      <c r="E9" s="10" t="n">
        <v>0.05</v>
      </c>
      <c r="F9" s="20" t="n">
        <f aca="false">D9*(1-E9)</f>
        <v>608</v>
      </c>
    </row>
    <row r="10" customFormat="false" ht="15" hidden="false" customHeight="false" outlineLevel="0" collapsed="false">
      <c r="A10" s="13" t="s">
        <v>44</v>
      </c>
      <c r="B10" s="14" t="s">
        <v>45</v>
      </c>
      <c r="C10" s="14" t="s">
        <v>32</v>
      </c>
      <c r="D10" s="15" t="n">
        <v>2850</v>
      </c>
      <c r="E10" s="16" t="n">
        <v>0.05</v>
      </c>
      <c r="F10" s="17" t="n">
        <f aca="false">D10*(1-E10)</f>
        <v>2707.5</v>
      </c>
    </row>
    <row r="11" customFormat="false" ht="15" hidden="false" customHeight="false" outlineLevel="0" collapsed="false">
      <c r="A11" s="18" t="s">
        <v>46</v>
      </c>
      <c r="B11" s="19" t="s">
        <v>47</v>
      </c>
      <c r="C11" s="19" t="s">
        <v>32</v>
      </c>
      <c r="D11" s="8" t="n">
        <v>1180</v>
      </c>
      <c r="E11" s="10" t="n">
        <v>0.05</v>
      </c>
      <c r="F11" s="20" t="n">
        <f aca="false">D11*(1-E11)</f>
        <v>1121</v>
      </c>
    </row>
    <row r="12" customFormat="false" ht="15" hidden="false" customHeight="false" outlineLevel="0" collapsed="false">
      <c r="A12" s="13" t="s">
        <v>48</v>
      </c>
      <c r="B12" s="14" t="s">
        <v>49</v>
      </c>
      <c r="C12" s="14" t="s">
        <v>50</v>
      </c>
      <c r="D12" s="15" t="n">
        <v>950</v>
      </c>
      <c r="E12" s="16" t="n">
        <v>0</v>
      </c>
      <c r="F12" s="17" t="n">
        <f aca="false">D12*(1-E12)</f>
        <v>950</v>
      </c>
    </row>
    <row r="13" customFormat="false" ht="15" hidden="false" customHeight="false" outlineLevel="0" collapsed="false">
      <c r="A13" s="18" t="s">
        <v>51</v>
      </c>
      <c r="B13" s="19" t="s">
        <v>52</v>
      </c>
      <c r="C13" s="19" t="s">
        <v>50</v>
      </c>
      <c r="D13" s="8" t="n">
        <v>480</v>
      </c>
      <c r="E13" s="10" t="n">
        <v>0</v>
      </c>
      <c r="F13" s="20" t="n">
        <f aca="false">D13*(1-E13)</f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1" t="s">
        <v>53</v>
      </c>
    </row>
    <row r="3" customFormat="false" ht="26.85" hidden="false" customHeight="false" outlineLevel="0" collapsed="false">
      <c r="A3" s="12" t="s">
        <v>24</v>
      </c>
      <c r="B3" s="12" t="s">
        <v>25</v>
      </c>
      <c r="C3" s="12" t="s">
        <v>54</v>
      </c>
      <c r="D3" s="12" t="s">
        <v>29</v>
      </c>
      <c r="E3" s="12" t="s">
        <v>55</v>
      </c>
    </row>
    <row r="4" customFormat="false" ht="15" hidden="false" customHeight="false" outlineLevel="0" collapsed="false">
      <c r="A4" s="18" t="s">
        <v>30</v>
      </c>
      <c r="B4" s="19" t="s">
        <v>31</v>
      </c>
      <c r="C4" s="6" t="n">
        <v>58</v>
      </c>
      <c r="D4" s="21" t="n">
        <f aca="false">Year1_PriceList!F4</f>
        <v>16650</v>
      </c>
      <c r="E4" s="22" t="n">
        <f aca="false">C4*D4</f>
        <v>965700</v>
      </c>
    </row>
    <row r="5" customFormat="false" ht="15" hidden="false" customHeight="false" outlineLevel="0" collapsed="false">
      <c r="A5" s="18" t="s">
        <v>33</v>
      </c>
      <c r="B5" s="19" t="s">
        <v>34</v>
      </c>
      <c r="C5" s="6" t="n">
        <v>26</v>
      </c>
      <c r="D5" s="21" t="n">
        <f aca="false">Year1_PriceList!F5</f>
        <v>37080</v>
      </c>
      <c r="E5" s="22" t="n">
        <f aca="false">C5*D5</f>
        <v>964080</v>
      </c>
    </row>
    <row r="6" customFormat="false" ht="15" hidden="false" customHeight="false" outlineLevel="0" collapsed="false">
      <c r="A6" s="18" t="s">
        <v>35</v>
      </c>
      <c r="B6" s="19" t="s">
        <v>36</v>
      </c>
      <c r="C6" s="6" t="n">
        <v>80</v>
      </c>
      <c r="D6" s="21" t="n">
        <f aca="false">Year1_PriceList!F6</f>
        <v>6512</v>
      </c>
      <c r="E6" s="22" t="n">
        <f aca="false">C6*D6</f>
        <v>520960</v>
      </c>
    </row>
    <row r="7" customFormat="false" ht="15" hidden="false" customHeight="false" outlineLevel="0" collapsed="false">
      <c r="A7" s="18" t="s">
        <v>37</v>
      </c>
      <c r="B7" s="19" t="s">
        <v>38</v>
      </c>
      <c r="C7" s="6" t="n">
        <v>48</v>
      </c>
      <c r="D7" s="21" t="n">
        <f aca="false">Year1_PriceList!F7</f>
        <v>13904</v>
      </c>
      <c r="E7" s="22" t="n">
        <f aca="false">C7*D7</f>
        <v>667392</v>
      </c>
    </row>
    <row r="8" customFormat="false" ht="15" hidden="false" customHeight="false" outlineLevel="0" collapsed="false">
      <c r="A8" s="18" t="s">
        <v>39</v>
      </c>
      <c r="B8" s="19" t="s">
        <v>40</v>
      </c>
      <c r="C8" s="6" t="n">
        <v>76</v>
      </c>
      <c r="D8" s="21" t="n">
        <f aca="false">Year1_PriceList!F8</f>
        <v>8832</v>
      </c>
      <c r="E8" s="22" t="n">
        <f aca="false">C8*D8</f>
        <v>671232</v>
      </c>
    </row>
    <row r="9" customFormat="false" ht="15" hidden="false" customHeight="false" outlineLevel="0" collapsed="false">
      <c r="A9" s="18" t="s">
        <v>41</v>
      </c>
      <c r="B9" s="19" t="s">
        <v>42</v>
      </c>
      <c r="C9" s="6" t="n">
        <v>160</v>
      </c>
      <c r="D9" s="21" t="n">
        <f aca="false">Year1_PriceList!F9</f>
        <v>608</v>
      </c>
      <c r="E9" s="22" t="n">
        <f aca="false">C9*D9</f>
        <v>97280</v>
      </c>
    </row>
    <row r="10" customFormat="false" ht="15" hidden="false" customHeight="false" outlineLevel="0" collapsed="false">
      <c r="A10" s="18" t="s">
        <v>44</v>
      </c>
      <c r="B10" s="19" t="s">
        <v>45</v>
      </c>
      <c r="C10" s="6" t="n">
        <v>34</v>
      </c>
      <c r="D10" s="21" t="n">
        <f aca="false">Year1_PriceList!F10</f>
        <v>2707.5</v>
      </c>
      <c r="E10" s="22" t="n">
        <f aca="false">C10*D10</f>
        <v>92055</v>
      </c>
    </row>
    <row r="11" customFormat="false" ht="15" hidden="false" customHeight="false" outlineLevel="0" collapsed="false">
      <c r="A11" s="18" t="s">
        <v>46</v>
      </c>
      <c r="B11" s="19" t="s">
        <v>47</v>
      </c>
      <c r="C11" s="6" t="n">
        <v>55</v>
      </c>
      <c r="D11" s="21" t="n">
        <f aca="false">Year1_PriceList!F11</f>
        <v>1121</v>
      </c>
      <c r="E11" s="22" t="n">
        <f aca="false">C11*D11</f>
        <v>61655</v>
      </c>
    </row>
    <row r="12" customFormat="false" ht="15" hidden="false" customHeight="false" outlineLevel="0" collapsed="false">
      <c r="A12" s="18" t="s">
        <v>48</v>
      </c>
      <c r="B12" s="19" t="s">
        <v>49</v>
      </c>
      <c r="C12" s="6" t="n">
        <v>120</v>
      </c>
      <c r="D12" s="21" t="n">
        <f aca="false">Year1_PriceList!F12</f>
        <v>950</v>
      </c>
      <c r="E12" s="22" t="n">
        <f aca="false">C12*D12</f>
        <v>114000</v>
      </c>
    </row>
    <row r="13" customFormat="false" ht="15" hidden="false" customHeight="false" outlineLevel="0" collapsed="false">
      <c r="A13" s="18" t="s">
        <v>51</v>
      </c>
      <c r="B13" s="19" t="s">
        <v>52</v>
      </c>
      <c r="C13" s="6" t="n">
        <v>190</v>
      </c>
      <c r="D13" s="21" t="n">
        <f aca="false">Year1_PriceList!F13</f>
        <v>480</v>
      </c>
      <c r="E13" s="22" t="n">
        <f aca="false">C13*D13</f>
        <v>91200</v>
      </c>
    </row>
    <row r="14" customFormat="false" ht="15" hidden="false" customHeight="false" outlineLevel="0" collapsed="false">
      <c r="B14" s="23" t="s">
        <v>56</v>
      </c>
      <c r="E14" s="24" t="n">
        <f aca="false">SUM(E4:E13)</f>
        <v>4245554</v>
      </c>
    </row>
    <row r="16" customFormat="false" ht="15" hidden="false" customHeight="false" outlineLevel="0" collapsed="false">
      <c r="B16" s="5" t="s">
        <v>57</v>
      </c>
      <c r="E16" s="25" t="n">
        <f aca="false">Assumptions!$B$7</f>
        <v>3500000</v>
      </c>
    </row>
    <row r="17" customFormat="false" ht="15" hidden="false" customHeight="false" outlineLevel="0" collapsed="false">
      <c r="B17" s="5" t="s">
        <v>58</v>
      </c>
      <c r="E17" s="26" t="n">
        <f aca="false">E14-E16</f>
        <v>745554</v>
      </c>
    </row>
    <row r="19" customFormat="false" ht="15" hidden="false" customHeight="false" outlineLevel="0" collapsed="false">
      <c r="B19" s="3" t="s">
        <v>59</v>
      </c>
    </row>
    <row r="20" customFormat="false" ht="15" hidden="false" customHeight="false" outlineLevel="0" collapsed="false">
      <c r="B20" s="5" t="s">
        <v>60</v>
      </c>
      <c r="D20" s="27" t="n">
        <v>2800000</v>
      </c>
      <c r="E20" s="28" t="n">
        <f aca="false">MAX(0,(Assumptions!$B$7-D20)*Assumptions!$B$8)</f>
        <v>56000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1" t="s">
        <v>61</v>
      </c>
    </row>
    <row r="3" customFormat="false" ht="26.85" hidden="false" customHeight="false" outlineLevel="0" collapsed="false">
      <c r="A3" s="12" t="s">
        <v>62</v>
      </c>
      <c r="B3" s="12" t="s">
        <v>63</v>
      </c>
      <c r="C3" s="12" t="s">
        <v>64</v>
      </c>
      <c r="D3" s="12" t="s">
        <v>65</v>
      </c>
      <c r="E3" s="12" t="s">
        <v>66</v>
      </c>
      <c r="F3" s="12" t="s">
        <v>67</v>
      </c>
    </row>
    <row r="4" customFormat="false" ht="15" hidden="false" customHeight="false" outlineLevel="0" collapsed="false">
      <c r="A4" s="18" t="s">
        <v>68</v>
      </c>
      <c r="B4" s="29" t="n">
        <v>0</v>
      </c>
      <c r="C4" s="30" t="n">
        <v>1</v>
      </c>
      <c r="D4" s="22" t="n">
        <f aca="false">Year1_VolumePlan!$E$14*C4</f>
        <v>4245554</v>
      </c>
      <c r="E4" s="31" t="n">
        <f aca="false">Assumptions!$B$7</f>
        <v>3500000</v>
      </c>
      <c r="F4" s="32" t="str">
        <f aca="false">IF(D4&gt;=E4,"Yes","No")</f>
        <v>Yes</v>
      </c>
    </row>
    <row r="5" customFormat="false" ht="15" hidden="false" customHeight="false" outlineLevel="0" collapsed="false">
      <c r="A5" s="18" t="s">
        <v>69</v>
      </c>
      <c r="B5" s="29" t="n">
        <f aca="false">MIN(Assumptions!$B$10,Assumptions!$B$11)</f>
        <v>0.035</v>
      </c>
      <c r="C5" s="30" t="n">
        <f aca="false">C4*(1+B5)</f>
        <v>1.035</v>
      </c>
      <c r="D5" s="22" t="n">
        <f aca="false">Year1_VolumePlan!$E$14*C5</f>
        <v>4394148.39</v>
      </c>
      <c r="E5" s="31" t="n">
        <f aca="false">Assumptions!$B$7</f>
        <v>3500000</v>
      </c>
      <c r="F5" s="32" t="str">
        <f aca="false">IF(D5&gt;=E5,"Yes","No")</f>
        <v>Yes</v>
      </c>
    </row>
    <row r="6" customFormat="false" ht="15" hidden="false" customHeight="false" outlineLevel="0" collapsed="false">
      <c r="A6" s="18" t="s">
        <v>70</v>
      </c>
      <c r="B6" s="29" t="n">
        <f aca="false">MIN(Assumptions!$B$10,Assumptions!$B$11)</f>
        <v>0.035</v>
      </c>
      <c r="C6" s="30" t="n">
        <f aca="false">C5*(1+B6)</f>
        <v>1.071225</v>
      </c>
      <c r="D6" s="22" t="n">
        <f aca="false">Year1_VolumePlan!$E$14*C6</f>
        <v>4547943.58365</v>
      </c>
      <c r="E6" s="31" t="n">
        <f aca="false">Assumptions!$B$7</f>
        <v>3500000</v>
      </c>
      <c r="F6" s="32" t="str">
        <f aca="false">IF(D6&gt;=E6,"Yes","No")</f>
        <v>Yes</v>
      </c>
    </row>
    <row r="7" customFormat="false" ht="15" hidden="false" customHeight="false" outlineLevel="0" collapsed="false">
      <c r="A7" s="18" t="s">
        <v>71</v>
      </c>
      <c r="B7" s="29" t="n">
        <f aca="false">MIN(Assumptions!$B$10,Assumptions!$B$11)</f>
        <v>0.035</v>
      </c>
      <c r="C7" s="30" t="n">
        <f aca="false">C6*(1+B7)</f>
        <v>1.108717875</v>
      </c>
      <c r="D7" s="22" t="n">
        <f aca="false">Year1_VolumePlan!$E$14*C7</f>
        <v>4707121.60907775</v>
      </c>
      <c r="E7" s="31" t="n">
        <f aca="false">Assumptions!$B$7</f>
        <v>3500000</v>
      </c>
      <c r="F7" s="32" t="str">
        <f aca="false">IF(D7&gt;=E7,"Yes","No")</f>
        <v>Yes</v>
      </c>
    </row>
    <row r="8" customFormat="false" ht="15" hidden="false" customHeight="false" outlineLevel="0" collapsed="false">
      <c r="A8" s="18" t="s">
        <v>72</v>
      </c>
      <c r="B8" s="29" t="n">
        <f aca="false">MIN(Assumptions!$B$10,Assumptions!$B$11)</f>
        <v>0.035</v>
      </c>
      <c r="C8" s="30" t="n">
        <f aca="false">C7*(1+B8)</f>
        <v>1.147523000625</v>
      </c>
      <c r="D8" s="22" t="n">
        <f aca="false">Year1_VolumePlan!$E$14*C8</f>
        <v>4871870.86539547</v>
      </c>
      <c r="E8" s="31" t="n">
        <f aca="false">Assumptions!$B$7</f>
        <v>3500000</v>
      </c>
      <c r="F8" s="32" t="str">
        <f aca="false">IF(D8&gt;=E8,"Yes","No")</f>
        <v>Yes</v>
      </c>
    </row>
    <row r="9" customFormat="false" ht="15" hidden="false" customHeight="false" outlineLevel="0" collapsed="false">
      <c r="A9" s="23" t="s">
        <v>73</v>
      </c>
      <c r="D9" s="24" t="n">
        <f aca="false">SUM(D4:D8)</f>
        <v>22766638.4481232</v>
      </c>
      <c r="E9" s="24" t="n">
        <f aca="false">SUM(E4:E8)</f>
        <v>17500000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2026-06-28T19:43:20Z</dcterms:created>
  <dc:creator>openpyxl</dc:creator>
  <dc:description/>
  <dc:language>en-US</dc:language>
  <cp:lastModifiedBy/>
  <dcterms:modified xsi:type="dcterms:W3CDTF">2026-06-28T19:43:20Z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