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<sst xmlns="http://schemas.openxmlformats.org/spreadsheetml/2006/main" count="74" uniqueCount="47">
  <si>
    <t xml:space="preserve">Harrow Precision Engineering Limited v Brevdale Castings Limited</t>
  </si>
  <si>
    <t xml:space="preserve">Claim No. HT-2025-000418  |  Amended Schedule of Loss (rev 2, 28 January 2025)</t>
  </si>
  <si>
    <t xml:space="preserve">Prepared by Whitfield Carter LLP. All figures exclusive of VAT and of interest under s.35A Senior Courts Act 1981.</t>
  </si>
  <si>
    <t xml:space="preserve">Head 1 — Replacement conforming castings</t>
  </si>
  <si>
    <t xml:space="preserve">Item</t>
  </si>
  <si>
    <t xml:space="preserve">Part no.</t>
  </si>
  <si>
    <t xml:space="preserve">Qty</t>
  </si>
  <si>
    <t xml:space="preserve">Unit cost (£)</t>
  </si>
  <si>
    <t xml:space="preserve">Cost (£)</t>
  </si>
  <si>
    <t xml:space="preserve">Notes</t>
  </si>
  <si>
    <t xml:space="preserve">Replacement housing castings (large)</t>
  </si>
  <si>
    <t xml:space="preserve">HPE-PH-340</t>
  </si>
  <si>
    <t xml:space="preserve">Alt foundry; premium over Brevdale price</t>
  </si>
  <si>
    <t xml:space="preserve">Replacement housing castings (small)</t>
  </si>
  <si>
    <t xml:space="preserve">HPE-PH-220</t>
  </si>
  <si>
    <t xml:space="preserve">Alt foundry</t>
  </si>
  <si>
    <t xml:space="preserve">Expedited tooling / pattern hire</t>
  </si>
  <si>
    <t xml:space="preserve">—</t>
  </si>
  <si>
    <t xml:space="preserve">One-off pattern refurbishment</t>
  </si>
  <si>
    <t xml:space="preserve">Sub-total Head 1</t>
  </si>
  <si>
    <t xml:space="preserve">Head 2 — Rework, strip-down and field recall</t>
  </si>
  <si>
    <t xml:space="preserve">Strip &amp; rebuild — units in stock (labour)</t>
  </si>
  <si>
    <t xml:space="preserve">6.4 hrs/unit @ £100</t>
  </si>
  <si>
    <t xml:space="preserve">Field recall — units returned from customers</t>
  </si>
  <si>
    <t xml:space="preserve">Recall logistics + rebuild; 286 units</t>
  </si>
  <si>
    <t xml:space="preserve">Replacement seals, gaskets &amp; fasteners</t>
  </si>
  <si>
    <t xml:space="preserve">Consumables per rebuilt unit</t>
  </si>
  <si>
    <t xml:space="preserve">Recall programme management &amp; comms</t>
  </si>
  <si>
    <t xml:space="preserve">Project overhead, helpline &amp; customer mgmt</t>
  </si>
  <si>
    <t xml:space="preserve">Sub-total Head 2</t>
  </si>
  <si>
    <t xml:space="preserve">Head 3 — Carriage, inspection and disposal</t>
  </si>
  <si>
    <t xml:space="preserve">Independent radiographic inspection</t>
  </si>
  <si>
    <t xml:space="preserve">Wraysbury &amp; in-line NDT</t>
  </si>
  <si>
    <t xml:space="preserve">Carriage — returns and replacements</t>
  </si>
  <si>
    <t xml:space="preserve">Inbound/outbound freight</t>
  </si>
  <si>
    <t xml:space="preserve">Scrap handling &amp; disposal of defective castings</t>
  </si>
  <si>
    <t xml:space="preserve">Licensed metal disposal</t>
  </si>
  <si>
    <t xml:space="preserve">Sub-total Head 3</t>
  </si>
  <si>
    <t xml:space="preserve">Head 4 — Liability to Stratton Energy plc (downstream)</t>
  </si>
  <si>
    <t xml:space="preserve">Liquidated damages — late/defective supply</t>
  </si>
  <si>
    <t xml:space="preserve">Framework contract cl. 11; 0.5%/wk capped</t>
  </si>
  <si>
    <t xml:space="preserve">Contractual rebate triggered on quality breach</t>
  </si>
  <si>
    <t xml:space="preserve">Framework contract sch. 4</t>
  </si>
  <si>
    <t xml:space="preserve">Sub-total Head 4</t>
  </si>
  <si>
    <t xml:space="preserve">TOTAL CLAIM (amended)</t>
  </si>
  <si>
    <t xml:space="preserve">Original total (pre-amendment, 11 Feb 2025)</t>
  </si>
  <si>
    <t xml:space="preserve">Increase on amendment (extended recall to 286 units)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</si>
</sst>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5" min="4" style="0" width="15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n">
        <v>430</v>
      </c>
      <c r="D7" s="6" t="n">
        <v>580</v>
      </c>
      <c r="E7" s="6" t="n">
        <f aca="false">C7*D7</f>
        <v>249400</v>
      </c>
      <c r="F7" s="5" t="s">
        <v>12</v>
      </c>
    </row>
    <row r="8" customFormat="false" ht="15" hidden="false" customHeight="false" outlineLevel="0" collapsed="false">
      <c r="A8" s="5" t="s">
        <v>13</v>
      </c>
      <c r="B8" s="5" t="s">
        <v>14</v>
      </c>
      <c r="C8" s="5" t="n">
        <v>1000</v>
      </c>
      <c r="D8" s="6" t="n">
        <v>112</v>
      </c>
      <c r="E8" s="6" t="n">
        <f aca="false">C8*D8</f>
        <v>112000</v>
      </c>
      <c r="F8" s="5" t="s">
        <v>15</v>
      </c>
    </row>
    <row r="9" customFormat="false" ht="15" hidden="false" customHeight="false" outlineLevel="0" collapsed="false">
      <c r="A9" s="5" t="s">
        <v>16</v>
      </c>
      <c r="B9" s="5" t="s">
        <v>17</v>
      </c>
      <c r="C9" s="5" t="n">
        <v>1</v>
      </c>
      <c r="D9" s="6" t="n">
        <v>36800</v>
      </c>
      <c r="E9" s="6" t="n">
        <f aca="false">C9*D9</f>
        <v>36800</v>
      </c>
      <c r="F9" s="5" t="s">
        <v>18</v>
      </c>
    </row>
    <row r="10" customFormat="false" ht="15" hidden="false" customHeight="false" outlineLevel="0" collapsed="false">
      <c r="D10" s="3" t="s">
        <v>19</v>
      </c>
      <c r="E10" s="7" t="n">
        <f aca="false">SUM(E7:E9)</f>
        <v>398200</v>
      </c>
    </row>
    <row r="12" customFormat="false" ht="15" hidden="false" customHeight="false" outlineLevel="0" collapsed="false">
      <c r="A12" s="3" t="s">
        <v>20</v>
      </c>
    </row>
    <row r="13" customFormat="false" ht="15" hidden="false" customHeight="false" outlineLevel="0" collapsed="false">
      <c r="A13" s="4" t="s">
        <v>4</v>
      </c>
      <c r="B13" s="4" t="s">
        <v>5</v>
      </c>
      <c r="C13" s="4" t="s">
        <v>6</v>
      </c>
      <c r="D13" s="4" t="s">
        <v>7</v>
      </c>
      <c r="E13" s="4" t="s">
        <v>8</v>
      </c>
      <c r="F13" s="4" t="s">
        <v>9</v>
      </c>
    </row>
    <row r="14" customFormat="false" ht="15" hidden="false" customHeight="false" outlineLevel="0" collapsed="false">
      <c r="A14" s="5" t="s">
        <v>21</v>
      </c>
      <c r="B14" s="5" t="s">
        <v>17</v>
      </c>
      <c r="C14" s="5" t="n">
        <v>92</v>
      </c>
      <c r="D14" s="6" t="n">
        <v>640</v>
      </c>
      <c r="E14" s="6" t="n">
        <f aca="false">C14*D14</f>
        <v>58880</v>
      </c>
      <c r="F14" s="5" t="s">
        <v>22</v>
      </c>
    </row>
    <row r="15" customFormat="false" ht="15" hidden="false" customHeight="false" outlineLevel="0" collapsed="false">
      <c r="A15" s="5" t="s">
        <v>23</v>
      </c>
      <c r="B15" s="5" t="s">
        <v>17</v>
      </c>
      <c r="C15" s="5" t="n">
        <v>286</v>
      </c>
      <c r="D15" s="6" t="n">
        <v>1180</v>
      </c>
      <c r="E15" s="6" t="n">
        <f aca="false">C15*D15</f>
        <v>337480</v>
      </c>
      <c r="F15" s="5" t="s">
        <v>24</v>
      </c>
    </row>
    <row r="16" customFormat="false" ht="15" hidden="false" customHeight="false" outlineLevel="0" collapsed="false">
      <c r="A16" s="5" t="s">
        <v>25</v>
      </c>
      <c r="B16" s="5" t="s">
        <v>17</v>
      </c>
      <c r="C16" s="5" t="n">
        <v>378</v>
      </c>
      <c r="D16" s="6" t="n">
        <v>140</v>
      </c>
      <c r="E16" s="6" t="n">
        <f aca="false">C16*D16</f>
        <v>52920</v>
      </c>
      <c r="F16" s="5" t="s">
        <v>26</v>
      </c>
    </row>
    <row r="17" customFormat="false" ht="15" hidden="false" customHeight="false" outlineLevel="0" collapsed="false">
      <c r="A17" s="5" t="s">
        <v>27</v>
      </c>
      <c r="B17" s="5" t="s">
        <v>17</v>
      </c>
      <c r="C17" s="5" t="n">
        <v>1</v>
      </c>
      <c r="D17" s="6" t="n">
        <v>199620</v>
      </c>
      <c r="E17" s="6" t="n">
        <f aca="false">C17*D17</f>
        <v>199620</v>
      </c>
      <c r="F17" s="5" t="s">
        <v>28</v>
      </c>
    </row>
    <row r="18" customFormat="false" ht="15" hidden="false" customHeight="false" outlineLevel="0" collapsed="false">
      <c r="D18" s="3" t="s">
        <v>29</v>
      </c>
      <c r="E18" s="7" t="n">
        <f aca="false">SUM(E14:E17)</f>
        <v>648900</v>
      </c>
    </row>
    <row r="20" customFormat="false" ht="15" hidden="false" customHeight="false" outlineLevel="0" collapsed="false">
      <c r="A20" s="3" t="s">
        <v>30</v>
      </c>
    </row>
    <row r="21" customFormat="false" ht="15" hidden="false" customHeight="false" outlineLevel="0" collapsed="false">
      <c r="A21" s="4" t="s">
        <v>4</v>
      </c>
      <c r="B21" s="4" t="s">
        <v>5</v>
      </c>
      <c r="C21" s="4" t="s">
        <v>6</v>
      </c>
      <c r="D21" s="4" t="s">
        <v>7</v>
      </c>
      <c r="E21" s="4" t="s">
        <v>8</v>
      </c>
      <c r="F21" s="4" t="s">
        <v>9</v>
      </c>
    </row>
    <row r="22" customFormat="false" ht="15" hidden="false" customHeight="false" outlineLevel="0" collapsed="false">
      <c r="A22" s="5" t="s">
        <v>31</v>
      </c>
      <c r="B22" s="5" t="s">
        <v>17</v>
      </c>
      <c r="C22" s="5" t="n">
        <v>1</v>
      </c>
      <c r="D22" s="6" t="n">
        <v>41200</v>
      </c>
      <c r="E22" s="6" t="n">
        <f aca="false">C22*D22</f>
        <v>41200</v>
      </c>
      <c r="F22" s="5" t="s">
        <v>32</v>
      </c>
    </row>
    <row r="23" customFormat="false" ht="15" hidden="false" customHeight="false" outlineLevel="0" collapsed="false">
      <c r="A23" s="5" t="s">
        <v>33</v>
      </c>
      <c r="B23" s="5" t="s">
        <v>17</v>
      </c>
      <c r="C23" s="5" t="n">
        <v>1</v>
      </c>
      <c r="D23" s="6" t="n">
        <v>28850</v>
      </c>
      <c r="E23" s="6" t="n">
        <f aca="false">C23*D23</f>
        <v>28850</v>
      </c>
      <c r="F23" s="5" t="s">
        <v>34</v>
      </c>
    </row>
    <row r="24" customFormat="false" ht="15" hidden="false" customHeight="false" outlineLevel="0" collapsed="false">
      <c r="A24" s="5" t="s">
        <v>35</v>
      </c>
      <c r="B24" s="5" t="s">
        <v>17</v>
      </c>
      <c r="C24" s="5" t="n">
        <v>1</v>
      </c>
      <c r="D24" s="6" t="n">
        <v>16000</v>
      </c>
      <c r="E24" s="6" t="n">
        <f aca="false">C24*D24</f>
        <v>16000</v>
      </c>
      <c r="F24" s="5" t="s">
        <v>36</v>
      </c>
    </row>
    <row r="25" customFormat="false" ht="15" hidden="false" customHeight="false" outlineLevel="0" collapsed="false">
      <c r="D25" s="3" t="s">
        <v>37</v>
      </c>
      <c r="E25" s="7" t="n">
        <f aca="false">SUM(E22:E24)</f>
        <v>86050</v>
      </c>
    </row>
    <row r="27" customFormat="false" ht="15" hidden="false" customHeight="false" outlineLevel="0" collapsed="false">
      <c r="A27" s="3" t="s">
        <v>38</v>
      </c>
    </row>
    <row r="28" customFormat="false" ht="15" hidden="false" customHeight="false" outlineLevel="0" collapsed="false">
      <c r="A28" s="4" t="s">
        <v>4</v>
      </c>
      <c r="B28" s="4" t="s">
        <v>5</v>
      </c>
      <c r="C28" s="4" t="s">
        <v>6</v>
      </c>
      <c r="D28" s="4" t="s">
        <v>7</v>
      </c>
      <c r="E28" s="4" t="s">
        <v>8</v>
      </c>
      <c r="F28" s="4" t="s">
        <v>9</v>
      </c>
    </row>
    <row r="29" customFormat="false" ht="15" hidden="false" customHeight="false" outlineLevel="0" collapsed="false">
      <c r="A29" s="5" t="s">
        <v>39</v>
      </c>
      <c r="B29" s="5" t="s">
        <v>17</v>
      </c>
      <c r="C29" s="5" t="n">
        <v>1</v>
      </c>
      <c r="D29" s="6" t="n">
        <v>275000</v>
      </c>
      <c r="E29" s="6" t="n">
        <f aca="false">C29*D29</f>
        <v>275000</v>
      </c>
      <c r="F29" s="5" t="s">
        <v>40</v>
      </c>
    </row>
    <row r="30" customFormat="false" ht="15" hidden="false" customHeight="false" outlineLevel="0" collapsed="false">
      <c r="A30" s="5" t="s">
        <v>41</v>
      </c>
      <c r="B30" s="5" t="s">
        <v>17</v>
      </c>
      <c r="C30" s="5" t="n">
        <v>1</v>
      </c>
      <c r="D30" s="6" t="n">
        <v>150000</v>
      </c>
      <c r="E30" s="6" t="n">
        <f aca="false">C30*D30</f>
        <v>150000</v>
      </c>
      <c r="F30" s="5" t="s">
        <v>42</v>
      </c>
    </row>
    <row r="31" customFormat="false" ht="15" hidden="false" customHeight="false" outlineLevel="0" collapsed="false">
      <c r="D31" s="3" t="s">
        <v>43</v>
      </c>
      <c r="E31" s="7" t="n">
        <f aca="false">SUM(E29:E30)</f>
        <v>425000</v>
      </c>
    </row>
    <row r="33" customFormat="false" ht="15" hidden="false" customHeight="false" outlineLevel="0" collapsed="false">
      <c r="D33" s="8" t="s">
        <v>44</v>
      </c>
      <c r="E33" s="9" t="n">
        <f aca="false">E10+E18+E25+E31</f>
        <v>1558150</v>
      </c>
    </row>
    <row r="34" customFormat="false" ht="15" hidden="false" customHeight="false" outlineLevel="0" collapsed="false">
      <c r="D34" s="10" t="s">
        <v>45</v>
      </c>
      <c r="E34" s="11" t="n">
        <v>1421650</v>
      </c>
    </row>
    <row r="35" customFormat="false" ht="15" hidden="false" customHeight="false" outlineLevel="0" collapsed="false">
      <c r="D35" s="10" t="s">
        <v>46</v>
      </c>
      <c r="E35" s="11" t="n">
        <f aca="false">E33-E34</f>
        <v>136500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2026-06-26T16:35:00Z</dcterms:created>
  <dc:creator>openpyxl</dc:creator>
  <dc:description/>
  <dc:language>en-US</dc:language>
  <cp:lastModifiedBy/>
  <dcterms:modified xsi:type="dcterms:W3CDTF">2026-06-26T16:35:00Z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