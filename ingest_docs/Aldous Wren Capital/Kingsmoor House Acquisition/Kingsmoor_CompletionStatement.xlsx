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tion Statement" sheetId="1" state="visible" r:id="rId3"/>
    <sheet name="Apportionments" sheetId="2" state="visible" r:id="rId4"/>
    <sheet name="SDL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<sst xmlns="http://schemas.openxmlformats.org/spreadsheetml/2006/main" count="58" uniqueCount="57">
  <si>
    <t xml:space="preserve">AWC Kingsmoor Propco Limited — Completion Statement</t>
  </si>
  <si>
    <t xml:space="preserve">Acquisition of Kingsmoor House, 40-46 Wellington Street, Leeds LS1 2DE</t>
  </si>
  <si>
    <t xml:space="preserve">Completion date: 1 May 2026   |   Apportionment day: 1 May 2026   |   Ref: WC-00207</t>
  </si>
  <si>
    <t xml:space="preserve">Item</t>
  </si>
  <si>
    <t xml:space="preserve">Note</t>
  </si>
  <si>
    <t xml:space="preserve">Due to Seller</t>
  </si>
  <si>
    <t xml:space="preserve">Due to Buyer</t>
  </si>
  <si>
    <t xml:space="preserve">Purchase price</t>
  </si>
  <si>
    <t xml:space="preserve">Contract cl. 2</t>
  </si>
  <si>
    <t xml:space="preserve">Less: deposit paid on exchange (10%)</t>
  </si>
  <si>
    <t xml:space="preserve">Paid 27 Mar 2026</t>
  </si>
  <si>
    <t xml:space="preserve">Less: retention (Aldermere rent review)</t>
  </si>
  <si>
    <t xml:space="preserve">Contract cl. 9.3</t>
  </si>
  <si>
    <t xml:space="preserve">Add: rent deposit monies accounted to Buyer</t>
  </si>
  <si>
    <t xml:space="preserve">Assigned to Buyer</t>
  </si>
  <si>
    <t xml:space="preserve">Rent apportionment (see Apportionments tab)</t>
  </si>
  <si>
    <t xml:space="preserve">Paid in advance</t>
  </si>
  <si>
    <t xml:space="preserve">Service charge apportionment (see Apportionments tab)</t>
  </si>
  <si>
    <t xml:space="preserve">Insurance apportionment</t>
  </si>
  <si>
    <t xml:space="preserve">Seller policy to completion</t>
  </si>
  <si>
    <t xml:space="preserve">Sub-totals</t>
  </si>
  <si>
    <t xml:space="preserve">BALANCE DUE FROM BUYER ON COMPLETION</t>
  </si>
  <si>
    <t xml:space="preserve">Post-completion — Stamp Duty Land Tax (payable by Buyer to HMRC within 14 days)</t>
  </si>
  <si>
    <t xml:space="preserve">SDLT on £14,150,000 (non-residential, see SDLT tab)</t>
  </si>
  <si>
    <t xml:space="preserve">Apportionments as at 1 May 2026</t>
  </si>
  <si>
    <t xml:space="preserve">Daily apportionment; rents and service charge paid quarterly in advance on the usual quarter days.</t>
  </si>
  <si>
    <t xml:space="preserve">A. Rent apportioned (quarter commencing 25 March 2026)</t>
  </si>
  <si>
    <t xml:space="preserve">Tenant</t>
  </si>
  <si>
    <t xml:space="preserve">Quarter rent</t>
  </si>
  <si>
    <t xml:space="preserve">Quarter days</t>
  </si>
  <si>
    <t xml:space="preserve">Days after completion</t>
  </si>
  <si>
    <t xml:space="preserve">Buyer's share</t>
  </si>
  <si>
    <t xml:space="preserve">Meridian Software (UK) Ltd</t>
  </si>
  <si>
    <t xml:space="preserve">Halcyon Retail Group Ltd</t>
  </si>
  <si>
    <t xml:space="preserve">Aldermere Consulting LLP</t>
  </si>
  <si>
    <t xml:space="preserve">Brookmere Asset Management plc</t>
  </si>
  <si>
    <t xml:space="preserve">Cavendish Legal Services Ltd</t>
  </si>
  <si>
    <t xml:space="preserve">Northgate Recruitment Ltd</t>
  </si>
  <si>
    <t xml:space="preserve">The Wellington Coffee Co Ltd</t>
  </si>
  <si>
    <t xml:space="preserve">Quarter days (25 Mar - 23 Jun 2026)</t>
  </si>
  <si>
    <t xml:space="preserve">Days from completion (1 May) to quarter end (23 Jun)</t>
  </si>
  <si>
    <t xml:space="preserve">Total rent apportioned to Buyer</t>
  </si>
  <si>
    <t xml:space="preserve">B. Service charge on-account apportioned (quarter 25 Mar 2026)</t>
  </si>
  <si>
    <t xml:space="preserve">Annual service-charge budget 2026</t>
  </si>
  <si>
    <t xml:space="preserve">Quarter on-account (budget / 4)</t>
  </si>
  <si>
    <t xml:space="preserve">Days after completion / quarter days</t>
  </si>
  <si>
    <t xml:space="preserve">Service charge apportioned to Buyer</t>
  </si>
  <si>
    <t xml:space="preserve">C. Insurance apportioned to Seller (annual premium continued for Buyer)</t>
  </si>
  <si>
    <t xml:space="preserve">Buildings insurance premium (annual)</t>
  </si>
  <si>
    <t xml:space="preserve">Insurance apportioned to Seller (53/365 days after completion)</t>
  </si>
  <si>
    <t xml:space="preserve">SDLT calculation — non-residential freehold</t>
  </si>
  <si>
    <t xml:space="preserve">Rates: 0% to £150,000; 2% £150,001-£250,000; 5% above £250,000</t>
  </si>
  <si>
    <t xml:space="preserve">Chargeable consideration</t>
  </si>
  <si>
    <t xml:space="preserve">Band 1: 0% on first £150,000</t>
  </si>
  <si>
    <t xml:space="preserve">Band 2: 2% on £150,001-£250,000</t>
  </si>
  <si>
    <t xml:space="preserve">Band 3: 5% above £250,000</t>
  </si>
  <si>
    <t xml:space="preserve">Total SDLT payable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</si>
</sst>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.00;&quot;(£&quot;#,##0.00\)"/>
    <numFmt numFmtId="166" formatCode="\£#,##0;&quot;(£&quot;#,##0\)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4" min="3" style="0" width="20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s">
        <v>8</v>
      </c>
      <c r="C6" s="7" t="n">
        <v>14150000</v>
      </c>
      <c r="D6" s="8"/>
    </row>
    <row r="7" customFormat="false" ht="15" hidden="false" customHeight="false" outlineLevel="0" collapsed="false">
      <c r="A7" s="5" t="s">
        <v>9</v>
      </c>
      <c r="B7" s="6" t="s">
        <v>10</v>
      </c>
      <c r="C7" s="8"/>
      <c r="D7" s="7" t="n">
        <v>1415000</v>
      </c>
    </row>
    <row r="8" customFormat="false" ht="15" hidden="false" customHeight="false" outlineLevel="0" collapsed="false">
      <c r="A8" s="5" t="s">
        <v>11</v>
      </c>
      <c r="B8" s="6" t="s">
        <v>12</v>
      </c>
      <c r="C8" s="8"/>
      <c r="D8" s="7" t="n">
        <v>45000</v>
      </c>
    </row>
    <row r="9" customFormat="false" ht="15" hidden="false" customHeight="false" outlineLevel="0" collapsed="false">
      <c r="A9" s="5" t="s">
        <v>13</v>
      </c>
      <c r="B9" s="6" t="s">
        <v>14</v>
      </c>
      <c r="C9" s="8"/>
      <c r="D9" s="7" t="n">
        <v>188500</v>
      </c>
    </row>
    <row r="10" customFormat="false" ht="15" hidden="false" customHeight="false" outlineLevel="0" collapsed="false">
      <c r="A10" s="5" t="s">
        <v>15</v>
      </c>
      <c r="B10" s="6" t="s">
        <v>16</v>
      </c>
      <c r="C10" s="8"/>
      <c r="D10" s="9" t="n">
        <f aca="false">Apportionments!E20</f>
        <v>153552.777777778</v>
      </c>
    </row>
    <row r="11" customFormat="false" ht="15" hidden="false" customHeight="false" outlineLevel="0" collapsed="false">
      <c r="A11" s="5" t="s">
        <v>17</v>
      </c>
      <c r="B11" s="6" t="s">
        <v>16</v>
      </c>
      <c r="C11" s="8"/>
      <c r="D11" s="9" t="n">
        <f aca="false">Apportionments!E27</f>
        <v>32388.8888888889</v>
      </c>
    </row>
    <row r="12" customFormat="false" ht="15" hidden="false" customHeight="false" outlineLevel="0" collapsed="false">
      <c r="A12" s="5" t="s">
        <v>18</v>
      </c>
      <c r="B12" s="6" t="s">
        <v>19</v>
      </c>
      <c r="C12" s="9" t="n">
        <f aca="false">Apportionments!E31</f>
        <v>6069.58904109589</v>
      </c>
      <c r="D12" s="8"/>
    </row>
    <row r="13" customFormat="false" ht="15" hidden="false" customHeight="false" outlineLevel="0" collapsed="false">
      <c r="A13" s="10" t="s">
        <v>20</v>
      </c>
      <c r="B13" s="11"/>
      <c r="C13" s="12" t="n">
        <f aca="false">SUM(C6:C12)</f>
        <v>14156069.5890411</v>
      </c>
      <c r="D13" s="12" t="n">
        <f aca="false">SUM(D6:D12)</f>
        <v>1834441.66666667</v>
      </c>
    </row>
    <row r="14" customFormat="false" ht="15" hidden="false" customHeight="false" outlineLevel="0" collapsed="false">
      <c r="A14" s="13" t="s">
        <v>21</v>
      </c>
      <c r="B14" s="14"/>
      <c r="C14" s="15" t="n">
        <f aca="false">C13-D13</f>
        <v>12321627.9223744</v>
      </c>
      <c r="D14" s="14"/>
    </row>
    <row r="16" customFormat="false" ht="15" hidden="false" customHeight="false" outlineLevel="0" collapsed="false">
      <c r="A16" s="2" t="s">
        <v>22</v>
      </c>
    </row>
    <row r="17" customFormat="false" ht="15" hidden="false" customHeight="false" outlineLevel="0" collapsed="false">
      <c r="A17" s="5" t="s">
        <v>23</v>
      </c>
      <c r="C17" s="16" t="n">
        <f aca="false">SDLT!B10</f>
        <v>697000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16.15" hidden="false" customHeight="false" outlineLevel="0" collapsed="false">
      <c r="A1" s="1" t="s">
        <v>24</v>
      </c>
      <c r="B1" s="1"/>
      <c r="C1" s="1"/>
      <c r="D1" s="1"/>
      <c r="E1" s="1"/>
    </row>
    <row r="2" customFormat="false" ht="15" hidden="false" customHeight="false" outlineLevel="0" collapsed="false">
      <c r="A2" s="3" t="s">
        <v>25</v>
      </c>
    </row>
    <row r="4" customFormat="false" ht="15" hidden="false" customHeight="false" outlineLevel="0" collapsed="false">
      <c r="A4" s="17" t="s">
        <v>26</v>
      </c>
    </row>
    <row r="5" customFormat="false" ht="26.85" hidden="false" customHeight="false" outlineLevel="0" collapsed="false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</row>
    <row r="6" customFormat="false" ht="15" hidden="false" customHeight="false" outlineLevel="0" collapsed="false">
      <c r="A6" s="5" t="s">
        <v>32</v>
      </c>
      <c r="B6" s="9" t="n">
        <f aca="false">312000/4</f>
        <v>78000</v>
      </c>
      <c r="C6" s="5" t="n">
        <f aca="false">$B$18</f>
        <v>90</v>
      </c>
      <c r="D6" s="5" t="n">
        <f aca="false">$B$19</f>
        <v>53</v>
      </c>
      <c r="E6" s="9" t="n">
        <f aca="false">B6*D6/C6</f>
        <v>45933.3333333333</v>
      </c>
    </row>
    <row r="7" customFormat="false" ht="15" hidden="false" customHeight="false" outlineLevel="0" collapsed="false">
      <c r="A7" s="5" t="s">
        <v>33</v>
      </c>
      <c r="B7" s="9" t="n">
        <f aca="false">196500/4</f>
        <v>49125</v>
      </c>
      <c r="C7" s="5" t="n">
        <f aca="false">$B$18</f>
        <v>90</v>
      </c>
      <c r="D7" s="5" t="n">
        <f aca="false">$B$19</f>
        <v>53</v>
      </c>
      <c r="E7" s="9" t="n">
        <f aca="false">B7*D7/C7</f>
        <v>28929.1666666667</v>
      </c>
    </row>
    <row r="8" customFormat="false" ht="15" hidden="false" customHeight="false" outlineLevel="0" collapsed="false">
      <c r="A8" s="5" t="s">
        <v>34</v>
      </c>
      <c r="B8" s="9" t="n">
        <f aca="false">188000/4</f>
        <v>47000</v>
      </c>
      <c r="C8" s="5" t="n">
        <f aca="false">$B$18</f>
        <v>90</v>
      </c>
      <c r="D8" s="5" t="n">
        <f aca="false">$B$19</f>
        <v>53</v>
      </c>
      <c r="E8" s="9" t="n">
        <f aca="false">B8*D8/C8</f>
        <v>27677.7777777778</v>
      </c>
    </row>
    <row r="9" customFormat="false" ht="15" hidden="false" customHeight="false" outlineLevel="0" collapsed="false">
      <c r="A9" s="5" t="s">
        <v>35</v>
      </c>
      <c r="B9" s="9" t="n">
        <f aca="false">171500/4</f>
        <v>42875</v>
      </c>
      <c r="C9" s="5" t="n">
        <f aca="false">$B$18</f>
        <v>90</v>
      </c>
      <c r="D9" s="5" t="n">
        <f aca="false">$B$19</f>
        <v>53</v>
      </c>
      <c r="E9" s="9" t="n">
        <f aca="false">B9*D9/C9</f>
        <v>25248.6111111111</v>
      </c>
    </row>
    <row r="10" customFormat="false" ht="15" hidden="false" customHeight="false" outlineLevel="0" collapsed="false">
      <c r="A10" s="5" t="s">
        <v>36</v>
      </c>
      <c r="B10" s="9" t="n">
        <f aca="false">96000/4</f>
        <v>24000</v>
      </c>
      <c r="C10" s="5" t="n">
        <f aca="false">$B$18</f>
        <v>90</v>
      </c>
      <c r="D10" s="5" t="n">
        <f aca="false">$B$19</f>
        <v>53</v>
      </c>
      <c r="E10" s="9" t="n">
        <f aca="false">B10*D10/C10</f>
        <v>14133.3333333333</v>
      </c>
    </row>
    <row r="11" customFormat="false" ht="15" hidden="false" customHeight="false" outlineLevel="0" collapsed="false">
      <c r="A11" s="5" t="s">
        <v>37</v>
      </c>
      <c r="B11" s="9" t="n">
        <f aca="false">54000/4</f>
        <v>13500</v>
      </c>
      <c r="C11" s="5" t="n">
        <f aca="false">$B$18</f>
        <v>90</v>
      </c>
      <c r="D11" s="5" t="n">
        <f aca="false">$B$19</f>
        <v>53</v>
      </c>
      <c r="E11" s="9" t="n">
        <f aca="false">B11*D11/C11</f>
        <v>7950</v>
      </c>
    </row>
    <row r="12" customFormat="false" ht="15" hidden="false" customHeight="false" outlineLevel="0" collapsed="false">
      <c r="A12" s="5" t="s">
        <v>38</v>
      </c>
      <c r="B12" s="9" t="n">
        <f aca="false">25000/4</f>
        <v>6250</v>
      </c>
      <c r="C12" s="5" t="n">
        <f aca="false">$B$18</f>
        <v>90</v>
      </c>
      <c r="D12" s="5" t="n">
        <f aca="false">$B$19</f>
        <v>53</v>
      </c>
      <c r="E12" s="9" t="n">
        <f aca="false">B12*D12/C12</f>
        <v>3680.55555555556</v>
      </c>
    </row>
    <row r="18" customFormat="false" ht="15" hidden="false" customHeight="false" outlineLevel="0" collapsed="false">
      <c r="A18" s="3" t="s">
        <v>39</v>
      </c>
      <c r="B18" s="18" t="n">
        <v>90</v>
      </c>
    </row>
    <row r="19" customFormat="false" ht="15" hidden="false" customHeight="false" outlineLevel="0" collapsed="false">
      <c r="A19" s="3" t="s">
        <v>40</v>
      </c>
      <c r="B19" s="18" t="n">
        <v>53</v>
      </c>
    </row>
    <row r="20" customFormat="false" ht="15" hidden="false" customHeight="false" outlineLevel="0" collapsed="false">
      <c r="A20" s="19" t="s">
        <v>41</v>
      </c>
      <c r="B20" s="20"/>
      <c r="C20" s="20"/>
      <c r="D20" s="20"/>
      <c r="E20" s="12" t="n">
        <f aca="false">SUM(E6:E12)</f>
        <v>153552.777777778</v>
      </c>
    </row>
    <row r="23" customFormat="false" ht="15" hidden="false" customHeight="false" outlineLevel="0" collapsed="false">
      <c r="A23" s="17" t="s">
        <v>42</v>
      </c>
    </row>
    <row r="24" customFormat="false" ht="15" hidden="false" customHeight="false" outlineLevel="0" collapsed="false">
      <c r="A24" s="21" t="s">
        <v>43</v>
      </c>
      <c r="B24" s="22" t="n">
        <v>220000</v>
      </c>
    </row>
    <row r="25" customFormat="false" ht="15" hidden="false" customHeight="false" outlineLevel="0" collapsed="false">
      <c r="A25" s="21" t="s">
        <v>44</v>
      </c>
      <c r="B25" s="23" t="n">
        <f aca="false">B24/4</f>
        <v>55000</v>
      </c>
    </row>
    <row r="26" customFormat="false" ht="15" hidden="false" customHeight="false" outlineLevel="0" collapsed="false">
      <c r="A26" s="21" t="s">
        <v>45</v>
      </c>
      <c r="B26" s="24" t="n">
        <f aca="false">B19/B18</f>
        <v>0.588888888888889</v>
      </c>
    </row>
    <row r="27" customFormat="false" ht="15" hidden="false" customHeight="false" outlineLevel="0" collapsed="false">
      <c r="A27" s="19" t="s">
        <v>46</v>
      </c>
      <c r="B27" s="20"/>
      <c r="C27" s="20"/>
      <c r="D27" s="20"/>
      <c r="E27" s="12" t="n">
        <f aca="false">B25*B26</f>
        <v>32388.8888888889</v>
      </c>
    </row>
    <row r="29" customFormat="false" ht="15" hidden="false" customHeight="false" outlineLevel="0" collapsed="false">
      <c r="A29" s="17" t="s">
        <v>47</v>
      </c>
    </row>
    <row r="30" customFormat="false" ht="15" hidden="false" customHeight="false" outlineLevel="0" collapsed="false">
      <c r="A30" s="21" t="s">
        <v>48</v>
      </c>
      <c r="D30" s="22" t="n">
        <v>41800</v>
      </c>
    </row>
    <row r="31" customFormat="false" ht="15" hidden="false" customHeight="false" outlineLevel="0" collapsed="false">
      <c r="A31" s="5" t="s">
        <v>49</v>
      </c>
      <c r="B31" s="20"/>
      <c r="C31" s="20"/>
      <c r="D31" s="20"/>
      <c r="E31" s="12" t="n">
        <f aca="false">D30*53/365</f>
        <v>6069.58904109589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1" t="s">
        <v>50</v>
      </c>
      <c r="B1" s="1"/>
      <c r="C1" s="1"/>
    </row>
    <row r="2" customFormat="false" ht="15" hidden="false" customHeight="false" outlineLevel="0" collapsed="false">
      <c r="A2" s="3" t="s">
        <v>51</v>
      </c>
    </row>
    <row r="4" customFormat="false" ht="15" hidden="false" customHeight="false" outlineLevel="0" collapsed="false">
      <c r="A4" s="5" t="s">
        <v>52</v>
      </c>
      <c r="B4" s="25" t="n">
        <v>14150000</v>
      </c>
    </row>
    <row r="5" customFormat="false" ht="15" hidden="false" customHeight="false" outlineLevel="0" collapsed="false">
      <c r="A5" s="20"/>
      <c r="B5" s="20"/>
    </row>
    <row r="6" customFormat="false" ht="15" hidden="false" customHeight="false" outlineLevel="0" collapsed="false">
      <c r="A6" s="5" t="s">
        <v>53</v>
      </c>
      <c r="B6" s="26" t="n">
        <f aca="false">0*MIN(B4,150000)</f>
        <v>0</v>
      </c>
    </row>
    <row r="7" customFormat="false" ht="15" hidden="false" customHeight="false" outlineLevel="0" collapsed="false">
      <c r="A7" s="5" t="s">
        <v>54</v>
      </c>
      <c r="B7" s="26" t="n">
        <f aca="false">0.02*(MIN(B4,250000)-150000)</f>
        <v>2000</v>
      </c>
    </row>
    <row r="8" customFormat="false" ht="15" hidden="false" customHeight="false" outlineLevel="0" collapsed="false">
      <c r="A8" s="5" t="s">
        <v>55</v>
      </c>
      <c r="B8" s="26" t="n">
        <f aca="false">0.05*MAX(B4-250000,0)</f>
        <v>695000</v>
      </c>
    </row>
    <row r="9" customFormat="false" ht="15" hidden="false" customHeight="false" outlineLevel="0" collapsed="false">
      <c r="A9" s="20"/>
      <c r="B9" s="20"/>
    </row>
    <row r="10" customFormat="false" ht="15" hidden="false" customHeight="false" outlineLevel="0" collapsed="false">
      <c r="A10" s="19" t="s">
        <v>56</v>
      </c>
      <c r="B10" s="27" t="n">
        <f aca="false">SUM(B6:B8)</f>
        <v>697000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2026-07-01T11:17:42Z</dcterms:created>
  <dc:creator>openpyxl</dc:creator>
  <dc:description/>
  <dc:language>en-US</dc:language>
  <cp:lastModifiedBy/>
  <dcterms:modified xsi:type="dcterms:W3CDTF">2026-07-01T11:17:42Z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