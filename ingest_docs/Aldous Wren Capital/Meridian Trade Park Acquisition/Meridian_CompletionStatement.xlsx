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Statement" sheetId="1" state="visible" r:id="rId1"/>
    <sheet xmlns:r="http://schemas.openxmlformats.org/officeDocument/2006/relationships" name="Apportio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&quot;£&quot;#,##0"/>
  </numFmts>
  <fonts count="8">
    <font>
      <name val="Calibri"/>
      <family val="2"/>
      <color theme="1"/>
      <sz val="11"/>
      <scheme val="minor"/>
    </font>
    <font>
      <b val="1"/>
      <color rgb="002E4A6B"/>
      <sz val="14"/>
    </font>
    <font>
      <b val="1"/>
      <sz val="12"/>
    </font>
    <font>
      <b val="1"/>
      <color rgb="00FFFFFF"/>
    </font>
    <font>
      <b val="1"/>
    </font>
    <font>
      <b val="1"/>
      <color rgb="002E4A6B"/>
      <sz val="11"/>
    </font>
    <font>
      <i val="1"/>
      <sz val="9"/>
    </font>
    <font>
      <b val="1"/>
      <color rgb="002E4A6B"/>
      <sz val="12"/>
    </font>
  </fonts>
  <fills count="5">
    <fill>
      <patternFill/>
    </fill>
    <fill>
      <patternFill patternType="gray125"/>
    </fill>
    <fill>
      <patternFill patternType="solid">
        <fgColor rgb="002E4A6B"/>
      </patternFill>
    </fill>
    <fill>
      <patternFill patternType="solid">
        <fgColor rgb="00DCE6F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3" borderId="1" pivotButton="0" quotePrefix="0" xfId="0"/>
    <xf numFmtId="0" fontId="0" fillId="3" borderId="1" pivotButton="0" quotePrefix="0" xfId="0"/>
    <xf numFmtId="164" fontId="4" fillId="3" borderId="1" applyAlignment="1" pivotButton="0" quotePrefix="0" xfId="0">
      <alignment horizontal="right"/>
    </xf>
    <xf numFmtId="0" fontId="5" fillId="0" borderId="0" pivotButton="0" quotePrefix="0" xfId="0"/>
    <xf numFmtId="0" fontId="4" fillId="4" borderId="1" pivotButton="0" quotePrefix="0" xfId="0"/>
    <xf numFmtId="0" fontId="0" fillId="4" borderId="1" pivotButton="0" quotePrefix="0" xfId="0"/>
    <xf numFmtId="164" fontId="4" fillId="4" borderId="1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20" customWidth="1" min="3" max="3"/>
    <col width="22" customWidth="1" min="4" max="4"/>
  </cols>
  <sheetData>
    <row r="1">
      <c r="A1" s="1" t="inlineStr">
        <is>
          <t>Whitfield Carter LLP</t>
        </is>
      </c>
    </row>
    <row r="2">
      <c r="A2" s="2" t="inlineStr">
        <is>
          <t>COMPLETION STATEMENT</t>
        </is>
      </c>
    </row>
    <row r="3">
      <c r="A3" t="inlineStr">
        <is>
          <t>Property: Meridian Trade Park, Siskin Drive, Coventry CV3 4FJ</t>
        </is>
      </c>
    </row>
    <row r="4">
      <c r="A4" t="inlineStr">
        <is>
          <t>Buyer: AWC Meridian Propco Limited   |   Matter WC-00157</t>
        </is>
      </c>
    </row>
    <row r="5">
      <c r="A5" t="inlineStr">
        <is>
          <t>Completion date: 19 January 2026</t>
        </is>
      </c>
    </row>
    <row r="7">
      <c r="A7" s="3" t="inlineStr">
        <is>
          <t>Item</t>
        </is>
      </c>
      <c r="B7" s="3" t="inlineStr">
        <is>
          <t>Note</t>
        </is>
      </c>
      <c r="C7" s="3" t="inlineStr">
        <is>
          <t>Debit (due from Buyer)</t>
        </is>
      </c>
      <c r="D7" s="3" t="inlineStr">
        <is>
          <t>Credit (allowed to Buyer)</t>
        </is>
      </c>
    </row>
    <row r="8">
      <c r="A8" s="4" t="inlineStr">
        <is>
          <t>Purchase Price</t>
        </is>
      </c>
      <c r="B8" s="4" t="inlineStr">
        <is>
          <t>1</t>
        </is>
      </c>
      <c r="C8" s="5" t="n">
        <v>14250000</v>
      </c>
      <c r="D8" s="5" t="n"/>
    </row>
    <row r="9">
      <c r="A9" s="4" t="inlineStr">
        <is>
          <t>Less: deposit paid on exchange (5%)</t>
        </is>
      </c>
      <c r="B9" s="4" t="inlineStr">
        <is>
          <t>2</t>
        </is>
      </c>
      <c r="C9" s="5" t="n"/>
      <c r="D9" s="5" t="n">
        <v>712500</v>
      </c>
    </row>
    <row r="10">
      <c r="A10" s="4" t="inlineStr">
        <is>
          <t>Less: retention re Unit 2 roof repairs</t>
        </is>
      </c>
      <c r="B10" s="4" t="inlineStr">
        <is>
          <t>3</t>
        </is>
      </c>
      <c r="C10" s="5" t="n"/>
      <c r="D10" s="5" t="n">
        <v>75000</v>
      </c>
    </row>
    <row r="11">
      <c r="A11" s="4" t="inlineStr">
        <is>
          <t>Less: rent deposit (Unit 6) assigned to Buyer</t>
        </is>
      </c>
      <c r="B11" s="4" t="inlineStr">
        <is>
          <t>4</t>
        </is>
      </c>
      <c r="C11" s="5" t="n"/>
      <c r="D11" s="5" t="n">
        <v>84000</v>
      </c>
    </row>
    <row r="12">
      <c r="A12" s="4" t="inlineStr">
        <is>
          <t>Less: rent apportionment (Buyer's share of quarter paid in advance)</t>
        </is>
      </c>
      <c r="B12" s="4" t="inlineStr">
        <is>
          <t>5</t>
        </is>
      </c>
      <c r="C12" s="5" t="n"/>
      <c r="D12" s="5" t="n">
        <v>178100</v>
      </c>
    </row>
    <row r="13">
      <c r="A13" s="4" t="inlineStr">
        <is>
          <t>Less: service charge apportionment (Buyer's share of quarter)</t>
        </is>
      </c>
      <c r="B13" s="4" t="inlineStr">
        <is>
          <t>6</t>
        </is>
      </c>
      <c r="C13" s="5" t="n"/>
      <c r="D13" s="5" t="n">
        <v>26758.33</v>
      </c>
    </row>
    <row r="14">
      <c r="A14" s="4" t="inlineStr">
        <is>
          <t>Add: insurance apportionment (Seller's pre-completion share)</t>
        </is>
      </c>
      <c r="B14" s="4" t="inlineStr">
        <is>
          <t>7</t>
        </is>
      </c>
      <c r="C14" s="5" t="n">
        <v>2906.94</v>
      </c>
      <c r="D14" s="5" t="n"/>
    </row>
    <row r="15">
      <c r="A15" s="6" t="inlineStr">
        <is>
          <t>Balance of completion monies due from Buyer</t>
        </is>
      </c>
      <c r="B15" s="7" t="n"/>
      <c r="C15" s="8">
        <f>C8+C14-D9-D10-D11-D12-D13</f>
        <v/>
      </c>
      <c r="D15" s="7" t="n"/>
    </row>
    <row r="17">
      <c r="A17" s="9" t="inlineStr">
        <is>
          <t>FUNDING OF COMPLETION MONIES</t>
        </is>
      </c>
    </row>
    <row r="18">
      <c r="A18" s="3" t="inlineStr">
        <is>
          <t>Source</t>
        </is>
      </c>
      <c r="B18" s="3" t="n"/>
      <c r="C18" s="3" t="inlineStr">
        <is>
          <t>Amount</t>
        </is>
      </c>
      <c r="D18" s="3" t="n"/>
    </row>
    <row r="19">
      <c r="A19" s="4" t="inlineStr">
        <is>
          <t>Senior facility — Pennine Business Bank plc (60% LTV)</t>
        </is>
      </c>
      <c r="B19" s="4" t="inlineStr">
        <is>
          <t>8</t>
        </is>
      </c>
      <c r="C19" s="5" t="n">
        <v>8550000</v>
      </c>
      <c r="D19" s="4" t="n"/>
    </row>
    <row r="20">
      <c r="A20" s="4" t="inlineStr">
        <is>
          <t>Equity contribution — Aldous Wren Capital Limited</t>
        </is>
      </c>
      <c r="B20" s="4" t="inlineStr">
        <is>
          <t>9</t>
        </is>
      </c>
      <c r="C20" s="5">
        <f>C15-C19</f>
        <v/>
      </c>
      <c r="D20" s="4" t="n"/>
    </row>
    <row r="21">
      <c r="A21" s="10" t="inlineStr">
        <is>
          <t>Total funds applied</t>
        </is>
      </c>
      <c r="B21" s="11" t="n"/>
      <c r="C21" s="12">
        <f>C19+C20</f>
        <v/>
      </c>
      <c r="D21" s="11" t="n"/>
    </row>
    <row r="23">
      <c r="A23" s="13" t="inlineStr">
        <is>
          <t>Notes:</t>
        </is>
      </c>
    </row>
    <row r="24">
      <c r="A24" s="14" t="inlineStr">
        <is>
          <t>1  Purchase Price as per Contract for Sale dated 15 December 2025 (as varied; reduced from £14,750,000 to reflect Unit 5 vacancy and reletting risk).</t>
        </is>
      </c>
    </row>
    <row r="25">
      <c r="A25" s="14" t="inlineStr">
        <is>
          <t>2  Deposit of £712,500 (5%) paid to Castle &amp; Vane LLP as stakeholder on exchange.</t>
        </is>
      </c>
    </row>
    <row r="26">
      <c r="A26" s="14" t="inlineStr">
        <is>
          <t>3  Retention of £75,000 held by Seller's solicitors pending completion of Unit 2 roof repairs (Schedule 5).</t>
        </is>
      </c>
    </row>
    <row r="27">
      <c r="A27" s="14" t="inlineStr">
        <is>
          <t>4  Rent deposit of £84,000 for Unit 6 assigned to Buyer under the Rent Deposit Deed; deducted from completion monies.</t>
        </is>
      </c>
    </row>
    <row r="28">
      <c r="A28" s="14" t="inlineStr">
        <is>
          <t>5-7  Apportionments to (but excluding) completion (19 Jan 2026). Seller collected the Dec 2025 quarter in advance; Buyer credited 65/90 of the quarter's rent and service charge; insurance apportioned to Seller. See the Apportionments tab.</t>
        </is>
      </c>
    </row>
    <row r="29">
      <c r="A29" s="14" t="inlineStr">
        <is>
          <t>8  Senior acquisition facility advanced by Pennine Business Bank plc.</t>
        </is>
      </c>
    </row>
    <row r="30">
      <c r="A30" s="14" t="inlineStr">
        <is>
          <t>9  Balancing equity contribution by the Buyer's parent.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6" customWidth="1" min="4" max="4"/>
    <col width="14" customWidth="1" min="5" max="5"/>
    <col width="11" customWidth="1" min="6" max="6"/>
    <col width="20" customWidth="1" min="7" max="7"/>
    <col width="13" customWidth="1" min="8" max="8"/>
  </cols>
  <sheetData>
    <row r="1">
      <c r="A1" s="15" t="inlineStr">
        <is>
          <t>APPORTIONMENTS &amp; TENANCY SCHEDULE</t>
        </is>
      </c>
    </row>
    <row r="2">
      <c r="A2" t="inlineStr">
        <is>
          <t>Meridian Trade Park — completion 19 January 2026</t>
        </is>
      </c>
    </row>
    <row r="3">
      <c r="A3" t="inlineStr">
        <is>
          <t>Rent quarter: 25 Dec 2025 - 24 Mar 2026 (90 days). Buyer's share from 19 Jan 2026 = 65 days.</t>
        </is>
      </c>
    </row>
    <row r="5">
      <c r="A5" s="3" t="inlineStr">
        <is>
          <t>Unit</t>
        </is>
      </c>
      <c r="B5" s="3" t="inlineStr">
        <is>
          <t>Tenant</t>
        </is>
      </c>
      <c r="C5" s="3" t="inlineStr">
        <is>
          <t>Area (sq ft)</t>
        </is>
      </c>
      <c r="D5" s="3" t="inlineStr">
        <is>
          <t>Passing rent p.a.</t>
        </is>
      </c>
      <c r="E5" s="3" t="inlineStr">
        <is>
          <t>Quarter's rent</t>
        </is>
      </c>
      <c r="F5" s="3" t="inlineStr">
        <is>
          <t>Days Buyer</t>
        </is>
      </c>
      <c r="G5" s="3" t="inlineStr">
        <is>
          <t>Buyer's apportioned rent</t>
        </is>
      </c>
      <c r="H5" s="3" t="inlineStr">
        <is>
          <t>Lease expiry</t>
        </is>
      </c>
    </row>
    <row r="6">
      <c r="A6" s="16" t="inlineStr">
        <is>
          <t>Unit 1</t>
        </is>
      </c>
      <c r="B6" s="4" t="inlineStr">
        <is>
          <t>Sterling Tyres &amp; Autocentre Ltd</t>
        </is>
      </c>
      <c r="C6" s="17" t="n">
        <v>11240</v>
      </c>
      <c r="D6" s="18" t="n">
        <v>109200</v>
      </c>
      <c r="E6" s="5">
        <f>D6/4</f>
        <v/>
      </c>
      <c r="F6" s="4" t="n">
        <v>65</v>
      </c>
      <c r="G6" s="5">
        <f>E6*F6/90</f>
        <v/>
      </c>
      <c r="H6" s="4" t="inlineStr">
        <is>
          <t>28/09/2029</t>
        </is>
      </c>
    </row>
    <row r="7">
      <c r="A7" s="16" t="inlineStr">
        <is>
          <t>Unit 2</t>
        </is>
      </c>
      <c r="B7" s="4" t="inlineStr">
        <is>
          <t>Brevett Packaging Limited</t>
        </is>
      </c>
      <c r="C7" s="17" t="n">
        <v>18650</v>
      </c>
      <c r="D7" s="18" t="n">
        <v>167850</v>
      </c>
      <c r="E7" s="5">
        <f>D7/4</f>
        <v/>
      </c>
      <c r="F7" s="4" t="n">
        <v>65</v>
      </c>
      <c r="G7" s="5">
        <f>E7*F7/90</f>
        <v/>
      </c>
      <c r="H7" s="4" t="inlineStr">
        <is>
          <t>24/03/2031</t>
        </is>
      </c>
    </row>
    <row r="8">
      <c r="A8" s="16" t="inlineStr">
        <is>
          <t>Unit 3</t>
        </is>
      </c>
      <c r="B8" s="4" t="inlineStr">
        <is>
          <t>Coventry Trade Supplies Ltd</t>
        </is>
      </c>
      <c r="C8" s="17" t="n">
        <v>9420</v>
      </c>
      <c r="D8" s="18" t="n">
        <v>94200</v>
      </c>
      <c r="E8" s="5">
        <f>D8/4</f>
        <v/>
      </c>
      <c r="F8" s="4" t="n">
        <v>65</v>
      </c>
      <c r="G8" s="5">
        <f>E8*F8/90</f>
        <v/>
      </c>
      <c r="H8" s="4" t="inlineStr">
        <is>
          <t>24/12/2027</t>
        </is>
      </c>
    </row>
    <row r="9">
      <c r="A9" s="16" t="inlineStr">
        <is>
          <t>Unit 4</t>
        </is>
      </c>
      <c r="B9" s="4" t="inlineStr">
        <is>
          <t>Halvern Logistics Limited</t>
        </is>
      </c>
      <c r="C9" s="17" t="n">
        <v>21300</v>
      </c>
      <c r="D9" s="18" t="n">
        <v>202350</v>
      </c>
      <c r="E9" s="5">
        <f>D9/4</f>
        <v/>
      </c>
      <c r="F9" s="4" t="n">
        <v>65</v>
      </c>
      <c r="G9" s="5">
        <f>E9*F9/90</f>
        <v/>
      </c>
      <c r="H9" s="4" t="inlineStr">
        <is>
          <t>23/06/2033</t>
        </is>
      </c>
    </row>
    <row r="10">
      <c r="A10" s="16" t="inlineStr">
        <is>
          <t>Unit 5</t>
        </is>
      </c>
      <c r="B10" s="4" t="inlineStr">
        <is>
          <t>VACANT</t>
        </is>
      </c>
      <c r="C10" s="17" t="n">
        <v>8960</v>
      </c>
      <c r="D10" s="18" t="n">
        <v>0</v>
      </c>
      <c r="E10" s="5">
        <f>D10/4</f>
        <v/>
      </c>
      <c r="F10" s="4" t="n">
        <v>0</v>
      </c>
      <c r="G10" s="5">
        <f>E10*F10/90</f>
        <v/>
      </c>
      <c r="H10" s="4" t="inlineStr">
        <is>
          <t>-</t>
        </is>
      </c>
    </row>
    <row r="11">
      <c r="A11" s="16" t="inlineStr">
        <is>
          <t>Unit 6</t>
        </is>
      </c>
      <c r="B11" s="4" t="inlineStr">
        <is>
          <t>Northgate Tooling Ltd</t>
        </is>
      </c>
      <c r="C11" s="17" t="n">
        <v>10480</v>
      </c>
      <c r="D11" s="18" t="n">
        <v>99560</v>
      </c>
      <c r="E11" s="5">
        <f>D11/4</f>
        <v/>
      </c>
      <c r="F11" s="4" t="n">
        <v>65</v>
      </c>
      <c r="G11" s="5">
        <f>E11*F11/90</f>
        <v/>
      </c>
      <c r="H11" s="4" t="inlineStr">
        <is>
          <t>24/12/2028</t>
        </is>
      </c>
    </row>
    <row r="12">
      <c r="A12" s="16" t="inlineStr">
        <is>
          <t>Unit 7</t>
        </is>
      </c>
      <c r="B12" s="4" t="inlineStr">
        <is>
          <t>Maddox Joinery Ltd</t>
        </is>
      </c>
      <c r="C12" s="17" t="n">
        <v>7640</v>
      </c>
      <c r="D12" s="18" t="n">
        <v>72580</v>
      </c>
      <c r="E12" s="5">
        <f>D12/4</f>
        <v/>
      </c>
      <c r="F12" s="4" t="n">
        <v>65</v>
      </c>
      <c r="G12" s="5">
        <f>E12*F12/90</f>
        <v/>
      </c>
      <c r="H12" s="4" t="inlineStr">
        <is>
          <t>24/03/2030</t>
        </is>
      </c>
    </row>
    <row r="13">
      <c r="A13" s="16" t="inlineStr">
        <is>
          <t>Unit 8</t>
        </is>
      </c>
      <c r="B13" s="4" t="inlineStr">
        <is>
          <t>Pinnacle Flooring Distribution Ltd</t>
        </is>
      </c>
      <c r="C13" s="17" t="n">
        <v>13110</v>
      </c>
      <c r="D13" s="18" t="n">
        <v>124545</v>
      </c>
      <c r="E13" s="5">
        <f>D13/4</f>
        <v/>
      </c>
      <c r="F13" s="4" t="n">
        <v>65</v>
      </c>
      <c r="G13" s="5">
        <f>E13*F13/90</f>
        <v/>
      </c>
      <c r="H13" s="4" t="inlineStr">
        <is>
          <t>28/09/2032</t>
        </is>
      </c>
    </row>
    <row r="14">
      <c r="A14" s="16" t="inlineStr">
        <is>
          <t>Unit 9</t>
        </is>
      </c>
      <c r="B14" s="4" t="inlineStr">
        <is>
          <t>Greenbridge Garden Centre Ltd</t>
        </is>
      </c>
      <c r="C14" s="17" t="n">
        <v>11680</v>
      </c>
      <c r="D14" s="18" t="n">
        <v>116115</v>
      </c>
      <c r="E14" s="5">
        <f>D14/4</f>
        <v/>
      </c>
      <c r="F14" s="4" t="n">
        <v>65</v>
      </c>
      <c r="G14" s="5">
        <f>E14*F14/90</f>
        <v/>
      </c>
      <c r="H14" s="4" t="inlineStr">
        <is>
          <t>24/12/2030</t>
        </is>
      </c>
    </row>
    <row r="15">
      <c r="A15" s="10" t="inlineStr">
        <is>
          <t>TOTAL</t>
        </is>
      </c>
      <c r="B15" s="10" t="n"/>
      <c r="C15" s="19">
        <f>SUM(C6:C14)</f>
        <v/>
      </c>
      <c r="D15" s="20">
        <f>SUM(D6:D14)</f>
        <v/>
      </c>
      <c r="E15" s="12">
        <f>SUM(E6:E14)</f>
        <v/>
      </c>
      <c r="F15" s="10" t="n"/>
      <c r="G15" s="12">
        <f>SUM(G6:G14)</f>
        <v/>
      </c>
      <c r="H15" s="10" t="n"/>
    </row>
    <row r="17">
      <c r="A17" s="13" t="inlineStr">
        <is>
          <t>Other apportionments (Buyer's share, 65/90 of quarter)</t>
        </is>
      </c>
    </row>
    <row r="18">
      <c r="A18" s="4" t="inlineStr">
        <is>
          <t>Service charge on account (quarter)</t>
        </is>
      </c>
      <c r="D18" s="21" t="n">
        <v>37050</v>
      </c>
      <c r="G18" s="21">
        <f>D18*65/90</f>
        <v/>
      </c>
    </row>
    <row r="19">
      <c r="A19" s="4" t="inlineStr">
        <is>
          <t>Insurance (Seller's pre-completion share, 25/90, debit to Buyer)</t>
        </is>
      </c>
      <c r="D19" s="21" t="n">
        <v>10465</v>
      </c>
      <c r="G19" s="21">
        <f>D19*((90-65)/90)</f>
        <v/>
      </c>
    </row>
    <row r="21">
      <c r="A21" s="14" t="inlineStr">
        <is>
          <t>Tie-back: Buyer's apportioned rent total (col G) = £178,100.00 feeds note 5 of the Completion Statement; service charge £26,758.33 (note 6); insurance £2,906.94 (note 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2026-06-27T22:21:34Z</dcterms:created>
  <dcterms:modified xmlns:dcterms="http://purl.org/dc/terms/" xmlns:xsi="http://www.w3.org/2001/XMLSchema-instance" xsi:type="dcterms:W3CDTF">2026-06-27T22:21:34Z</dcterms:modified>
</cp:coreProperties>
</file>