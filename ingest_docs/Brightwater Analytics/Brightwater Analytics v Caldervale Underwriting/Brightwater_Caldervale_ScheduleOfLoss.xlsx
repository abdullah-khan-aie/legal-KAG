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"/>
    <numFmt numFmtId="165" formatCode="&quot;£&quot;#,##0.0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b val="1"/>
      <sz val="12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22" customWidth="1" min="4" max="4"/>
    <col width="14" customWidth="1" min="5" max="5"/>
    <col width="20" customWidth="1" min="6" max="6"/>
    <col width="16" customWidth="1" min="7" max="7"/>
  </cols>
  <sheetData>
    <row r="1">
      <c r="A1" s="1" t="inlineStr">
        <is>
          <t>Brightwater Analytics Limited v Caldervale Underwriting Limited</t>
        </is>
      </c>
    </row>
    <row r="2">
      <c r="A2" s="2" t="inlineStr">
        <is>
          <t>Claim No. CL-2026-000148  —  Claimant's Schedule of Loss (as at 30 April 2026)</t>
        </is>
      </c>
    </row>
    <row r="3">
      <c r="A3" s="2" t="inlineStr">
        <is>
          <t>Polaris Agreement dated 2 May 2024; 3-year term; £420,000 p.a. licence; £180,000 implementation fee (2 x £90,000).</t>
        </is>
      </c>
    </row>
    <row r="5">
      <c r="A5" s="3" t="inlineStr">
        <is>
          <t>Ref</t>
        </is>
      </c>
      <c r="B5" s="3" t="inlineStr">
        <is>
          <t>Head of claim</t>
        </is>
      </c>
      <c r="C5" s="3" t="inlineStr">
        <is>
          <t>Basis</t>
        </is>
      </c>
      <c r="D5" s="3" t="inlineStr">
        <is>
          <t>Period</t>
        </is>
      </c>
      <c r="E5" s="3" t="inlineStr">
        <is>
          <t>Gross (£)</t>
        </is>
      </c>
      <c r="F5" s="3" t="inlineStr">
        <is>
          <t>Credit / mitigation (£)</t>
        </is>
      </c>
      <c r="G5" s="3" t="inlineStr">
        <is>
          <t>Net claimed (£)</t>
        </is>
      </c>
    </row>
    <row r="6">
      <c r="A6" s="4" t="inlineStr">
        <is>
          <t>1</t>
        </is>
      </c>
      <c r="B6" s="5" t="inlineStr">
        <is>
          <t>Unpaid Milestone 2 implementation fee</t>
        </is>
      </c>
      <c r="C6" s="5" t="inlineStr">
        <is>
          <t>Debt — invoice INV-2024-0915 (12 Sep 2024)</t>
        </is>
      </c>
      <c r="D6" s="5" t="inlineStr">
        <is>
          <t>Due 12 Oct 2024</t>
        </is>
      </c>
      <c r="E6" s="6" t="n">
        <v>90000</v>
      </c>
      <c r="F6" s="6" t="n">
        <v>0</v>
      </c>
      <c r="G6" s="6">
        <f>E6-F6</f>
        <v/>
      </c>
    </row>
    <row r="7">
      <c r="A7" s="4" t="inlineStr">
        <is>
          <t>2</t>
        </is>
      </c>
      <c r="B7" s="5" t="inlineStr">
        <is>
          <t>Lost licence fee — Year 2 (unexpired)</t>
        </is>
      </c>
      <c r="C7" s="5" t="inlineStr">
        <is>
          <t>Damages — clause 7.1 annual licence</t>
        </is>
      </c>
      <c r="D7" s="5" t="inlineStr">
        <is>
          <t>May 2025 – May 2026</t>
        </is>
      </c>
      <c r="E7" s="6" t="n">
        <v>420000</v>
      </c>
      <c r="F7" s="6" t="n">
        <v>63000</v>
      </c>
      <c r="G7" s="6">
        <f>E7-F7</f>
        <v/>
      </c>
    </row>
    <row r="8">
      <c r="A8" s="4" t="inlineStr">
        <is>
          <t>3</t>
        </is>
      </c>
      <c r="B8" s="5" t="inlineStr">
        <is>
          <t>Lost licence fee — Year 3</t>
        </is>
      </c>
      <c r="C8" s="5" t="inlineStr">
        <is>
          <t>Damages — clause 7.1 annual licence</t>
        </is>
      </c>
      <c r="D8" s="5" t="inlineStr">
        <is>
          <t>May 2026 – May 2027</t>
        </is>
      </c>
      <c r="E8" s="6" t="n">
        <v>420000</v>
      </c>
      <c r="F8" s="6" t="n">
        <v>63000</v>
      </c>
      <c r="G8" s="6">
        <f>E8-F8</f>
        <v/>
      </c>
    </row>
    <row r="9">
      <c r="B9" s="7" t="inlineStr">
        <is>
          <t>Subtotal — principal</t>
        </is>
      </c>
      <c r="E9" s="8">
        <f>SUM(E6:E8)</f>
        <v/>
      </c>
      <c r="F9" s="8">
        <f>SUM(F6:F8)</f>
        <v/>
      </c>
      <c r="G9" s="8">
        <f>SUM(G6:G8)</f>
        <v/>
      </c>
    </row>
    <row r="11">
      <c r="B11" s="7" t="inlineStr">
        <is>
          <t>Interest (s.35A Senior Courts Act 1981)</t>
        </is>
      </c>
    </row>
    <row r="12">
      <c r="B12" t="inlineStr">
        <is>
          <t>Rate applied: 4% over Bank of England base rate</t>
        </is>
      </c>
    </row>
    <row r="13">
      <c r="B13" t="inlineStr">
        <is>
          <t>Interest on Milestone 2 debt (£90,000) from 12 Oct 2024 to 30 Apr 2026 (566 days)</t>
        </is>
      </c>
      <c r="G13" s="9">
        <f>ROUND(90000*0.0825*566/365,2)</f>
        <v/>
      </c>
    </row>
    <row r="14">
      <c r="B14" t="inlineStr">
        <is>
          <t>Interest on lost-licence damages (from acceptance of repudiation, 14 Nov 2025, to 30 Apr 2026)</t>
        </is>
      </c>
      <c r="G14" s="9">
        <f>ROUND((G7+G8)*0.0825*167/365,2)</f>
        <v/>
      </c>
    </row>
    <row r="16">
      <c r="B16" s="10" t="inlineStr">
        <is>
          <t>TOTAL CLAIMED (principal + interest to date)</t>
        </is>
      </c>
      <c r="G16" s="11">
        <f>G9+G13+G14</f>
        <v/>
      </c>
    </row>
    <row r="18">
      <c r="B18" s="2" t="inlineStr">
        <is>
          <t>Note: credits at rows 2–3 reflect avoided hosting, support and account-management cost (15% of fee) for the unperformed term.</t>
        </is>
      </c>
    </row>
    <row r="19">
      <c r="B19" s="2" t="inlineStr">
        <is>
          <t>Defendant's pleaded £160,000 set-off is denied and not reflected pending production of replacement-services invoices.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2026-06-27T22:58:43Z</dcterms:created>
  <dcterms:modified xmlns:dcterms="http://purl.org/dc/terms/" xmlns:xsi="http://www.w3.org/2001/XMLSchema-instance" xsi:type="dcterms:W3CDTF">2026-06-27T22:58:43Z</dcterms:modified>
</cp:coreProperties>
</file>