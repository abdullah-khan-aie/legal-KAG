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&amp; TCV" sheetId="1" state="visible" r:id="rId3"/>
    <sheet name="Service Cred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<sst xmlns="http://schemas.openxmlformats.org/spreadsheetml/2006/main" count="37" uniqueCount="37">
  <si>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Brightwater Analytics Limited — Pennine Mutual Insurance plc</t>
  </si>
  <si>
    <t xml:space="preserve">Master SaaS &amp; Data Services Agreement — Pricing and Total Contract Value model</t>
  </si>
  <si>
    <t xml:space="preserve">Matter WC-00156  |  Initial Term 3 years from Go-Live 1 May 2026  |  All figures exclusive of VAT</t>
  </si>
  <si>
    <t xml:space="preserve">Assumptions</t>
  </si>
  <si>
    <t xml:space="preserve">Year 1 annual subscription (£)</t>
  </si>
  <si>
    <t xml:space="preserve">Annual uplift</t>
  </si>
  <si>
    <t xml:space="preserve">Implementation fee (one-off, £)</t>
  </si>
  <si>
    <t xml:space="preserve">Payment terms (days)</t>
  </si>
  <si>
    <t xml:space="preserve">Availability SLA target</t>
  </si>
  <si>
    <t xml:space="preserve">Service credit per 0.1% below target</t>
  </si>
  <si>
    <t xml:space="preserve">Service credit cap (% of monthly sub)</t>
  </si>
  <si>
    <t xml:space="preserve">Subscription schedule</t>
  </si>
  <si>
    <t xml:space="preserve">Contract Year</t>
  </si>
  <si>
    <t xml:space="preserve">Period start</t>
  </si>
  <si>
    <t xml:space="preserve">Annual subscription (£)</t>
  </si>
  <si>
    <t xml:space="preserve">Implementation fee (£)</t>
  </si>
  <si>
    <t xml:space="preserve">Total charges in year (£)</t>
  </si>
  <si>
    <t xml:space="preserve">Cumulative charges (£)</t>
  </si>
  <si>
    <t xml:space="preserve">Year 1</t>
  </si>
  <si>
    <t xml:space="preserve">01-May-2026</t>
  </si>
  <si>
    <t xml:space="preserve">Year 2</t>
  </si>
  <si>
    <t xml:space="preserve">01-May-2027</t>
  </si>
  <si>
    <t xml:space="preserve">Year 3</t>
  </si>
  <si>
    <t xml:space="preserve">01-May-2028</t>
  </si>
  <si>
    <t xml:space="preserve">Total Contract Value</t>
  </si>
  <si>
    <t xml:space="preserve">Liability cap reference (per executed clause 11)</t>
  </si>
  <si>
    <t xml:space="preserve">General cap: 125% of Charges paid in preceding 12 months</t>
  </si>
  <si>
    <t xml:space="preserve">(illustrative, on Year 1 subscription)</t>
  </si>
  <si>
    <t xml:space="preserve">Data-protection / confidentiality super-cap (fixed)</t>
  </si>
  <si>
    <t xml:space="preserve">Service Level — availability and service-credit illustration</t>
  </si>
  <si>
    <t xml:space="preserve">Per Schedule 4: 2% of monthly subscription per 0.1% below 99.9% target, capped at 15% of monthly subscription</t>
  </si>
  <si>
    <t xml:space="preserve">Monthly subscription (Year 1, £)</t>
  </si>
  <si>
    <t xml:space="preserve">Measured availability</t>
  </si>
  <si>
    <t xml:space="preserve">Shortfall vs 99.9%</t>
  </si>
  <si>
    <t xml:space="preserve">Credit % (uncapped)</t>
  </si>
  <si>
    <t xml:space="preserve">Credit % (capped 15%)</t>
  </si>
  <si>
    <t xml:space="preserve">Service credit (£)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</si>
</sst>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0.0%"/>
    <numFmt numFmtId="167" formatCode="0.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  <col collapsed="false" customWidth="true" hidden="false" outlineLevel="0" max="6" min="5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840000</v>
      </c>
    </row>
    <row r="7" customFormat="false" ht="15" hidden="false" customHeight="false" outlineLevel="0" collapsed="false">
      <c r="A7" s="5" t="s">
        <v>5</v>
      </c>
      <c r="B7" s="7" t="n">
        <v>0.05</v>
      </c>
    </row>
    <row r="8" customFormat="false" ht="15" hidden="false" customHeight="false" outlineLevel="0" collapsed="false">
      <c r="A8" s="5" t="s">
        <v>6</v>
      </c>
      <c r="B8" s="6" t="n">
        <v>120000</v>
      </c>
    </row>
    <row r="9" customFormat="false" ht="15" hidden="false" customHeight="false" outlineLevel="0" collapsed="false">
      <c r="A9" s="5" t="s">
        <v>7</v>
      </c>
      <c r="B9" s="8" t="n">
        <v>30</v>
      </c>
    </row>
    <row r="10" customFormat="false" ht="15" hidden="false" customHeight="false" outlineLevel="0" collapsed="false">
      <c r="A10" s="5" t="s">
        <v>8</v>
      </c>
      <c r="B10" s="7" t="n">
        <v>0.999</v>
      </c>
    </row>
    <row r="11" customFormat="false" ht="15" hidden="false" customHeight="false" outlineLevel="0" collapsed="false">
      <c r="A11" s="5" t="s">
        <v>9</v>
      </c>
      <c r="B11" s="7" t="n">
        <v>0.02</v>
      </c>
    </row>
    <row r="12" customFormat="false" ht="15" hidden="false" customHeight="false" outlineLevel="0" collapsed="false">
      <c r="A12" s="5" t="s">
        <v>10</v>
      </c>
      <c r="B12" s="7" t="n">
        <v>0.15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9" t="s">
        <v>12</v>
      </c>
      <c r="B15" s="9" t="s">
        <v>13</v>
      </c>
      <c r="C15" s="9" t="s">
        <v>14</v>
      </c>
      <c r="D15" s="9" t="s">
        <v>15</v>
      </c>
      <c r="E15" s="9" t="s">
        <v>16</v>
      </c>
      <c r="F15" s="9" t="s">
        <v>17</v>
      </c>
    </row>
    <row r="16" customFormat="false" ht="15" hidden="false" customHeight="false" outlineLevel="0" collapsed="false">
      <c r="A16" s="10" t="s">
        <v>18</v>
      </c>
      <c r="B16" s="11" t="s">
        <v>19</v>
      </c>
      <c r="C16" s="12" t="n">
        <f aca="false">$B$6</f>
        <v>840000</v>
      </c>
      <c r="D16" s="12" t="n">
        <f aca="false">$B$8</f>
        <v>120000</v>
      </c>
      <c r="E16" s="12" t="n">
        <f aca="false">C16+D16</f>
        <v>960000</v>
      </c>
      <c r="F16" s="12" t="n">
        <f aca="false">E16</f>
        <v>960000</v>
      </c>
    </row>
    <row r="17" customFormat="false" ht="15" hidden="false" customHeight="false" outlineLevel="0" collapsed="false">
      <c r="A17" s="10" t="s">
        <v>20</v>
      </c>
      <c r="B17" s="11" t="s">
        <v>21</v>
      </c>
      <c r="C17" s="12" t="n">
        <f aca="false">C16*(1+$B$7)</f>
        <v>882000</v>
      </c>
      <c r="D17" s="12" t="n">
        <v>0</v>
      </c>
      <c r="E17" s="12" t="n">
        <f aca="false">C17+D17</f>
        <v>882000</v>
      </c>
      <c r="F17" s="12" t="n">
        <f aca="false">F16+E17</f>
        <v>1842000</v>
      </c>
    </row>
    <row r="18" customFormat="false" ht="15" hidden="false" customHeight="false" outlineLevel="0" collapsed="false">
      <c r="A18" s="10" t="s">
        <v>22</v>
      </c>
      <c r="B18" s="11" t="s">
        <v>23</v>
      </c>
      <c r="C18" s="12" t="n">
        <f aca="false">C17*(1+$B$7)</f>
        <v>926100</v>
      </c>
      <c r="D18" s="12" t="n">
        <v>0</v>
      </c>
      <c r="E18" s="12" t="n">
        <f aca="false">C18+D18</f>
        <v>926100</v>
      </c>
      <c r="F18" s="12" t="n">
        <f aca="false">F17+E18</f>
        <v>2768100</v>
      </c>
    </row>
    <row r="19" customFormat="false" ht="15" hidden="false" customHeight="false" outlineLevel="0" collapsed="false">
      <c r="A19" s="13" t="s">
        <v>24</v>
      </c>
      <c r="C19" s="14" t="n">
        <f aca="false">SUM(C16:C18)</f>
        <v>2648100</v>
      </c>
      <c r="D19" s="14" t="n">
        <f aca="false">SUM(D16:D18)</f>
        <v>120000</v>
      </c>
      <c r="E19" s="14" t="n">
        <f aca="false">SUM(E16:E18)</f>
        <v>2768100</v>
      </c>
      <c r="F19" s="14" t="n">
        <f aca="false">F18</f>
        <v>2768100</v>
      </c>
    </row>
    <row r="22" customFormat="false" ht="15" hidden="false" customHeight="false" outlineLevel="0" collapsed="false">
      <c r="A22" s="4" t="s">
        <v>25</v>
      </c>
    </row>
    <row r="23" customFormat="false" ht="15" hidden="false" customHeight="false" outlineLevel="0" collapsed="false">
      <c r="A23" s="5" t="s">
        <v>26</v>
      </c>
      <c r="B23" s="15" t="n">
        <f aca="false">1.25*C16</f>
        <v>1050000</v>
      </c>
      <c r="C23" s="16" t="s">
        <v>27</v>
      </c>
    </row>
    <row r="24" customFormat="false" ht="15" hidden="false" customHeight="false" outlineLevel="0" collapsed="false">
      <c r="A24" s="5" t="s">
        <v>28</v>
      </c>
      <c r="B24" s="6" t="n">
        <v>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7" t="s">
        <v>29</v>
      </c>
    </row>
    <row r="2" customFormat="false" ht="15" hidden="false" customHeight="false" outlineLevel="0" collapsed="false">
      <c r="A2" s="18" t="s">
        <v>30</v>
      </c>
    </row>
    <row r="4" customFormat="false" ht="15" hidden="false" customHeight="false" outlineLevel="0" collapsed="false">
      <c r="A4" s="5" t="s">
        <v>31</v>
      </c>
      <c r="B4" s="19" t="n">
        <f aca="false">'Pricing &amp; TCV'!C16/12</f>
        <v>70000</v>
      </c>
    </row>
    <row r="6" customFormat="false" ht="15" hidden="false" customHeight="false" outlineLevel="0" collapsed="false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</row>
    <row r="7" customFormat="false" ht="15" hidden="false" customHeight="false" outlineLevel="0" collapsed="false">
      <c r="A7" s="20" t="n">
        <v>0.999</v>
      </c>
      <c r="B7" s="20" t="n">
        <f aca="false">MAX(0,0.999-A7)</f>
        <v>0</v>
      </c>
      <c r="C7" s="21" t="n">
        <f aca="false">ROUND(B7/0.001,0)*0.02</f>
        <v>0</v>
      </c>
      <c r="D7" s="21" t="n">
        <f aca="false">MIN(C7,0.15)</f>
        <v>0</v>
      </c>
      <c r="E7" s="22" t="n">
        <f aca="false">D7*$B$4</f>
        <v>0</v>
      </c>
    </row>
    <row r="8" customFormat="false" ht="15" hidden="false" customHeight="false" outlineLevel="0" collapsed="false">
      <c r="A8" s="20" t="n">
        <v>0.998</v>
      </c>
      <c r="B8" s="20" t="n">
        <f aca="false">MAX(0,0.999-A8)</f>
        <v>0.001</v>
      </c>
      <c r="C8" s="21" t="n">
        <f aca="false">ROUND(B8/0.001,0)*0.02</f>
        <v>0.02</v>
      </c>
      <c r="D8" s="21" t="n">
        <f aca="false">MIN(C8,0.15)</f>
        <v>0.02</v>
      </c>
      <c r="E8" s="22" t="n">
        <f aca="false">D8*$B$4</f>
        <v>1400</v>
      </c>
    </row>
    <row r="9" customFormat="false" ht="15" hidden="false" customHeight="false" outlineLevel="0" collapsed="false">
      <c r="A9" s="20" t="n">
        <v>0.997</v>
      </c>
      <c r="B9" s="20" t="n">
        <f aca="false">MAX(0,0.999-A9)</f>
        <v>0.002</v>
      </c>
      <c r="C9" s="21" t="n">
        <f aca="false">ROUND(B9/0.001,0)*0.02</f>
        <v>0.04</v>
      </c>
      <c r="D9" s="21" t="n">
        <f aca="false">MIN(C9,0.15)</f>
        <v>0.04</v>
      </c>
      <c r="E9" s="22" t="n">
        <f aca="false">D9*$B$4</f>
        <v>2800</v>
      </c>
    </row>
    <row r="10" customFormat="false" ht="15" hidden="false" customHeight="false" outlineLevel="0" collapsed="false">
      <c r="A10" s="20" t="n">
        <v>0.995</v>
      </c>
      <c r="B10" s="20" t="n">
        <f aca="false">MAX(0,0.999-A10)</f>
        <v>0.004</v>
      </c>
      <c r="C10" s="21" t="n">
        <f aca="false">ROUND(B10/0.001,0)*0.02</f>
        <v>0.08</v>
      </c>
      <c r="D10" s="21" t="n">
        <f aca="false">MIN(C10,0.15)</f>
        <v>0.08</v>
      </c>
      <c r="E10" s="22" t="n">
        <f aca="false">D10*$B$4</f>
        <v>5600</v>
      </c>
    </row>
    <row r="11" customFormat="false" ht="15" hidden="false" customHeight="false" outlineLevel="0" collapsed="false">
      <c r="A11" s="20" t="n">
        <v>0.99</v>
      </c>
      <c r="B11" s="20" t="n">
        <f aca="false">MAX(0,0.999-A11)</f>
        <v>0.00900000000000001</v>
      </c>
      <c r="C11" s="21" t="n">
        <f aca="false">ROUND(B11/0.001,0)*0.02</f>
        <v>0.18</v>
      </c>
      <c r="D11" s="21" t="n">
        <f aca="false">MIN(C11,0.15)</f>
        <v>0.15</v>
      </c>
      <c r="E11" s="22" t="n">
        <f aca="false">D11*$B$4</f>
        <v>10500</v>
      </c>
    </row>
    <row r="12" customFormat="false" ht="15" hidden="false" customHeight="false" outlineLevel="0" collapsed="false">
      <c r="A12" s="20" t="n">
        <v>0.985</v>
      </c>
      <c r="B12" s="20" t="n">
        <f aca="false">MAX(0,0.999-A12)</f>
        <v>0.014</v>
      </c>
      <c r="C12" s="21" t="n">
        <f aca="false">ROUND(B12/0.001,0)*0.02</f>
        <v>0.28</v>
      </c>
      <c r="D12" s="21" t="n">
        <f aca="false">MIN(C12,0.15)</f>
        <v>0.15</v>
      </c>
      <c r="E12" s="22" t="n">
        <f aca="false">D12*$B$4</f>
        <v>10500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2026-06-27T22:21:06Z</dcterms:created>
  <dc:creator>openpyxl</dc:creator>
  <dc:description/>
  <dc:language>en-US</dc:language>
  <cp:lastModifiedBy/>
  <dcterms:modified xsi:type="dcterms:W3CDTF">2026-06-27T22:21:06Z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