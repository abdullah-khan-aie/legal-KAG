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 Table" sheetId="1" state="visible" r:id="rId1"/>
    <sheet xmlns:r="http://schemas.openxmlformats.org/officeDocument/2006/relationships" name="Funds 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£#,##0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0" borderId="1" pivotButton="0" quotePrefix="0" xfId="0"/>
    <xf numFmtId="0" fontId="5" fillId="3" borderId="1" pivotButton="0" quotePrefix="0" xfId="0"/>
    <xf numFmtId="3" fontId="5" fillId="3" borderId="1" pivotButton="0" quotePrefix="0" xfId="0"/>
    <xf numFmtId="164" fontId="5" fillId="3" borderId="1" pivotButton="0" quotePrefix="0" xfId="0"/>
    <xf numFmtId="165" fontId="5" fillId="3" borderId="1" pivotButton="0" quotePrefix="0" xfId="0"/>
    <xf numFmtId="0" fontId="5" fillId="0" borderId="0" pivotButton="0" quotePrefix="0" xfId="0"/>
    <xf numFmtId="0" fontId="4" fillId="0" borderId="0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Brightwater Analytics Limited — Series B (Project Marlin)</t>
        </is>
      </c>
    </row>
    <row r="2">
      <c r="A2" s="2" t="inlineStr">
        <is>
          <t>Cap table: pre-money and post-money. Price per Series B share £41.86. Round £18,000,000. Pre-money £62,000,000; post-money £80,000,000.</t>
        </is>
      </c>
    </row>
    <row r="4">
      <c r="A4" s="3" t="inlineStr">
        <is>
          <t>Shareholder</t>
        </is>
      </c>
      <c r="B4" s="3" t="inlineStr">
        <is>
          <t>Class</t>
        </is>
      </c>
      <c r="C4" s="3" t="inlineStr">
        <is>
          <t>Pre-money shares</t>
        </is>
      </c>
      <c r="D4" s="3" t="inlineStr">
        <is>
          <t>Pre-money %</t>
        </is>
      </c>
      <c r="E4" s="3" t="inlineStr">
        <is>
          <t>New Series B shares</t>
        </is>
      </c>
      <c r="F4" s="3" t="inlineStr">
        <is>
          <t>Investment (£)</t>
        </is>
      </c>
      <c r="G4" s="3" t="inlineStr">
        <is>
          <t>Post-money shares</t>
        </is>
      </c>
      <c r="H4" s="3" t="inlineStr">
        <is>
          <t>Post-money %</t>
        </is>
      </c>
    </row>
    <row r="5">
      <c r="A5" s="4" t="inlineStr">
        <is>
          <t>Nadia Forsyth (Founder/CEO)</t>
        </is>
      </c>
      <c r="B5" s="4" t="inlineStr">
        <is>
          <t>Ordinary</t>
        </is>
      </c>
      <c r="C5" s="5" t="n">
        <v>1420000</v>
      </c>
      <c r="D5" s="6">
        <f>IF($C$13=0,0,C5/$C$13)</f>
        <v/>
      </c>
      <c r="E5" s="5" t="n">
        <v>0</v>
      </c>
      <c r="F5" s="7" t="n"/>
      <c r="G5" s="5">
        <f>C5+E5</f>
        <v/>
      </c>
      <c r="H5" s="6">
        <f>IF($G$13=0,0,G5/$G$13)</f>
        <v/>
      </c>
    </row>
    <row r="6">
      <c r="A6" s="4" t="inlineStr">
        <is>
          <t>Theo Eriksson (Founder/CTO)</t>
        </is>
      </c>
      <c r="B6" s="4" t="inlineStr">
        <is>
          <t>Ordinary</t>
        </is>
      </c>
      <c r="C6" s="5" t="n">
        <v>980000</v>
      </c>
      <c r="D6" s="6">
        <f>IF($C$13=0,0,C6/$C$13)</f>
        <v/>
      </c>
      <c r="E6" s="5" t="n">
        <v>0</v>
      </c>
      <c r="F6" s="7" t="n"/>
      <c r="G6" s="5">
        <f>C6+E6</f>
        <v/>
      </c>
      <c r="H6" s="6">
        <f>IF($G$13=0,0,G6/$G$13)</f>
        <v/>
      </c>
    </row>
    <row r="7">
      <c r="A7" s="4" t="inlineStr">
        <is>
          <t>Ravensworth Ventures LLP</t>
        </is>
      </c>
      <c r="B7" s="4" t="inlineStr">
        <is>
          <t>Series A</t>
        </is>
      </c>
      <c r="C7" s="5" t="n">
        <v>560000</v>
      </c>
      <c r="D7" s="6">
        <f>IF($C$13=0,0,C7/$C$13)</f>
        <v/>
      </c>
      <c r="E7" s="5" t="n">
        <v>124427</v>
      </c>
      <c r="F7" s="7" t="n">
        <v>2000000</v>
      </c>
      <c r="G7" s="5">
        <f>C7+E7</f>
        <v/>
      </c>
      <c r="H7" s="6">
        <f>IF($G$13=0,0,G7/$G$13)</f>
        <v/>
      </c>
    </row>
    <row r="8">
      <c r="A8" s="4" t="inlineStr">
        <is>
          <t>Aldridge Seed LP</t>
        </is>
      </c>
      <c r="B8" s="4" t="inlineStr">
        <is>
          <t>Series A</t>
        </is>
      </c>
      <c r="C8" s="5" t="n">
        <v>180000</v>
      </c>
      <c r="D8" s="6">
        <f>IF($C$13=0,0,C8/$C$13)</f>
        <v/>
      </c>
      <c r="E8" s="5" t="n">
        <v>0</v>
      </c>
      <c r="F8" s="7" t="n"/>
      <c r="G8" s="5">
        <f>C8+E8</f>
        <v/>
      </c>
      <c r="H8" s="6">
        <f>IF($G$13=0,0,G8/$G$13)</f>
        <v/>
      </c>
    </row>
    <row r="9">
      <c r="A9" s="4" t="inlineStr">
        <is>
          <t>EMI option pool (existing, granted)</t>
        </is>
      </c>
      <c r="B9" s="4" t="inlineStr">
        <is>
          <t>Options</t>
        </is>
      </c>
      <c r="C9" s="5" t="n">
        <v>240000</v>
      </c>
      <c r="D9" s="6">
        <f>IF($C$13=0,0,C9/$C$13)</f>
        <v/>
      </c>
      <c r="E9" s="5" t="n">
        <v>0</v>
      </c>
      <c r="F9" s="7" t="n"/>
      <c r="G9" s="5">
        <f>C9+E9</f>
        <v/>
      </c>
      <c r="H9" s="6">
        <f>IF($G$13=0,0,G9/$G$13)</f>
        <v/>
      </c>
    </row>
    <row r="10">
      <c r="A10" s="4" t="inlineStr">
        <is>
          <t>Existing angels</t>
        </is>
      </c>
      <c r="B10" s="4" t="inlineStr">
        <is>
          <t>Ordinary</t>
        </is>
      </c>
      <c r="C10" s="5" t="n">
        <v>120000</v>
      </c>
      <c r="D10" s="6">
        <f>IF($C$13=0,0,C10/$C$13)</f>
        <v/>
      </c>
      <c r="E10" s="5" t="n">
        <v>62214</v>
      </c>
      <c r="F10" s="7" t="n">
        <v>1000000</v>
      </c>
      <c r="G10" s="5">
        <f>C10+E10</f>
        <v/>
      </c>
      <c r="H10" s="6">
        <f>IF($G$13=0,0,G10/$G$13)</f>
        <v/>
      </c>
    </row>
    <row r="11">
      <c r="A11" s="4" t="inlineStr">
        <is>
          <t>Westbridge Growth Capital LLP</t>
        </is>
      </c>
      <c r="B11" s="4" t="inlineStr">
        <is>
          <t>Series B</t>
        </is>
      </c>
      <c r="C11" s="5" t="n">
        <v>0</v>
      </c>
      <c r="D11" s="6">
        <f>IF($C$13=0,0,C11/$C$13)</f>
        <v/>
      </c>
      <c r="E11" s="5" t="n">
        <v>933206</v>
      </c>
      <c r="F11" s="7" t="n">
        <v>15000000</v>
      </c>
      <c r="G11" s="5">
        <f>C11+E11</f>
        <v/>
      </c>
      <c r="H11" s="6">
        <f>IF($G$13=0,0,G11/$G$13)</f>
        <v/>
      </c>
    </row>
    <row r="12">
      <c r="A12" s="4" t="inlineStr">
        <is>
          <t>New EMI pool top-up (reserved)</t>
        </is>
      </c>
      <c r="B12" s="4" t="inlineStr">
        <is>
          <t>Options</t>
        </is>
      </c>
      <c r="C12" s="5" t="n">
        <v>357252</v>
      </c>
      <c r="D12" s="6">
        <f>IF($C$13=0,0,C12/$C$13)</f>
        <v/>
      </c>
      <c r="E12" s="5" t="n">
        <v>0</v>
      </c>
      <c r="F12" s="8" t="n"/>
      <c r="G12" s="5">
        <f>C12+E12</f>
        <v/>
      </c>
      <c r="H12" s="6">
        <f>IF($G$13=0,0,G12/$G$13)</f>
        <v/>
      </c>
    </row>
    <row r="13">
      <c r="A13" s="9" t="inlineStr">
        <is>
          <t>TOTAL</t>
        </is>
      </c>
      <c r="B13" s="9" t="n"/>
      <c r="C13" s="10">
        <f>SUM(C5:C12)</f>
        <v/>
      </c>
      <c r="D13" s="11">
        <f>SUM(D5:D12)</f>
        <v/>
      </c>
      <c r="E13" s="10">
        <f>SUM(E5:E12)</f>
        <v/>
      </c>
      <c r="F13" s="12">
        <f>SUM(F5:F12)</f>
        <v/>
      </c>
      <c r="G13" s="10">
        <f>SUM(G5:G12)</f>
        <v/>
      </c>
      <c r="H13" s="11">
        <f>SUM(H5:H12)</f>
        <v/>
      </c>
    </row>
    <row r="15">
      <c r="A15" s="13" t="inlineStr">
        <is>
          <t>Notes:</t>
        </is>
      </c>
    </row>
    <row r="16">
      <c r="A16" s="14" t="inlineStr">
        <is>
          <t>1. Pre-money valuation £62,000,000 on a fully-diluted basis including the enlarged option pool.</t>
        </is>
      </c>
    </row>
    <row r="17">
      <c r="A17" s="14" t="inlineStr">
        <is>
          <t>2. Series B price per share £41.86; 430,000 new Series B shares for £18,000,000 (rounded to whole shares).</t>
        </is>
      </c>
    </row>
    <row r="18">
      <c r="A18" s="14" t="inlineStr">
        <is>
          <t>3. Westbridge £15,000,000; Ravensworth £2,000,000; existing angels £1,000,000.</t>
        </is>
      </c>
    </row>
    <row r="19">
      <c r="A19" s="14" t="inlineStr">
        <is>
          <t>4. Post-money option pool targeted at 12% of fully-diluted share capital.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58" customWidth="1" min="3" max="3"/>
    <col width="16" customWidth="1" min="4" max="4"/>
  </cols>
  <sheetData>
    <row r="1">
      <c r="A1" s="1" t="inlineStr">
        <is>
          <t>Project Marlin — Funds Flow Statement (Completion 30 January 2026)</t>
        </is>
      </c>
    </row>
    <row r="2">
      <c r="A2" s="2" t="inlineStr">
        <is>
          <t>All amounts in £ sterling. Subscription monies routed via Whitfield Carter LLP client account.</t>
        </is>
      </c>
    </row>
    <row r="4">
      <c r="A4" s="3" t="inlineStr">
        <is>
          <t>Ref</t>
        </is>
      </c>
      <c r="B4" s="3" t="inlineStr">
        <is>
          <t>Payer / Source</t>
        </is>
      </c>
      <c r="C4" s="3" t="inlineStr">
        <is>
          <t>Payee / Application</t>
        </is>
      </c>
      <c r="D4" s="3" t="inlineStr">
        <is>
          <t>Amount (£)</t>
        </is>
      </c>
    </row>
    <row r="5">
      <c r="A5" s="4" t="inlineStr">
        <is>
          <t>In 1</t>
        </is>
      </c>
      <c r="B5" s="4" t="inlineStr">
        <is>
          <t>Westbridge Growth Capital LLP</t>
        </is>
      </c>
      <c r="C5" s="4" t="inlineStr">
        <is>
          <t>WC client account — subscription for 933,206 Series B shares</t>
        </is>
      </c>
      <c r="D5" s="7" t="n">
        <v>15000000</v>
      </c>
    </row>
    <row r="6">
      <c r="A6" s="4" t="inlineStr">
        <is>
          <t>In 2</t>
        </is>
      </c>
      <c r="B6" s="4" t="inlineStr">
        <is>
          <t>Ravensworth Ventures LLP</t>
        </is>
      </c>
      <c r="C6" s="4" t="inlineStr">
        <is>
          <t>WC client account — subscription for 124,427 Series B shares</t>
        </is>
      </c>
      <c r="D6" s="7" t="n">
        <v>2000000</v>
      </c>
    </row>
    <row r="7">
      <c r="A7" s="4" t="inlineStr">
        <is>
          <t>In 3</t>
        </is>
      </c>
      <c r="B7" s="4" t="inlineStr">
        <is>
          <t>Existing angels (aggregate)</t>
        </is>
      </c>
      <c r="C7" s="4" t="inlineStr">
        <is>
          <t>WC client account — subscription for 62,214 Series B shares</t>
        </is>
      </c>
      <c r="D7" s="7" t="n">
        <v>1000000</v>
      </c>
    </row>
    <row r="8">
      <c r="A8" s="8" t="n"/>
      <c r="B8" s="8" t="n"/>
      <c r="C8" s="15" t="inlineStr">
        <is>
          <t>Total subscription monies received</t>
        </is>
      </c>
      <c r="D8" s="7">
        <f>SUM(D5:D7)</f>
        <v/>
      </c>
    </row>
    <row r="9">
      <c r="A9" s="8" t="n"/>
      <c r="B9" s="8" t="n"/>
      <c r="C9" s="8" t="n"/>
      <c r="D9" s="8" t="n"/>
    </row>
    <row r="10">
      <c r="A10" s="8" t="n"/>
      <c r="B10" s="15" t="inlineStr">
        <is>
          <t>APPLICATION OF FUNDS</t>
        </is>
      </c>
      <c r="C10" s="8" t="n"/>
      <c r="D10" s="8" t="n"/>
    </row>
    <row r="11">
      <c r="A11" s="4" t="inlineStr">
        <is>
          <t>Out 1</t>
        </is>
      </c>
      <c r="B11" s="4" t="inlineStr">
        <is>
          <t>WC client account</t>
        </is>
      </c>
      <c r="C11" s="4" t="inlineStr">
        <is>
          <t>Brightwater Analytics Limited — company account (net subscription proceeds)</t>
        </is>
      </c>
      <c r="D11" s="7">
        <f>D8-D12-D13</f>
        <v/>
      </c>
    </row>
    <row r="12">
      <c r="A12" s="4" t="inlineStr">
        <is>
          <t>Out 2</t>
        </is>
      </c>
      <c r="B12" s="4" t="inlineStr">
        <is>
          <t>WC client account</t>
        </is>
      </c>
      <c r="C12" s="4" t="inlineStr">
        <is>
          <t>Westbridge Growth Capital LLP — agreed legal costs contribution (incl. VAT)</t>
        </is>
      </c>
      <c r="D12" s="7" t="n">
        <v>54000</v>
      </c>
    </row>
    <row r="13">
      <c r="A13" s="4" t="inlineStr">
        <is>
          <t>Out 3</t>
        </is>
      </c>
      <c r="B13" s="4" t="inlineStr">
        <is>
          <t>WC client account</t>
        </is>
      </c>
      <c r="C13" s="4" t="inlineStr">
        <is>
          <t>Whitfield Carter LLP — fees and disbursements (incl. VAT) per invoice</t>
        </is>
      </c>
      <c r="D13" s="7" t="n">
        <v>132000</v>
      </c>
    </row>
    <row r="14">
      <c r="A14" s="8" t="n"/>
      <c r="B14" s="8" t="n"/>
      <c r="C14" s="15" t="inlineStr">
        <is>
          <t>Total application of funds</t>
        </is>
      </c>
      <c r="D14" s="7">
        <f>SUM(D11:D13)</f>
        <v/>
      </c>
    </row>
    <row r="15">
      <c r="C15" s="15" t="inlineStr">
        <is>
          <t>Check (in − out, must be 0)</t>
        </is>
      </c>
      <c r="D15" s="7">
        <f>D8-D14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2026-06-29T11:24:02Z</dcterms:created>
  <dcterms:modified xmlns:dcterms="http://purl.org/dc/terms/" xmlns:xsi="http://www.w3.org/2001/XMLSchema-instance" xsi:type="dcterms:W3CDTF">2026-06-29T11:24:02Z</dcterms:modified>
</cp:coreProperties>
</file>