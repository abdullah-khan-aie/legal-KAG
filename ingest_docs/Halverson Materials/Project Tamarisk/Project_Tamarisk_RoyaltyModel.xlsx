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yalty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<sst xmlns="http://schemas.openxmlformats.org/spreadsheetml/2006/main" count="32" uniqueCount="32">
  <si>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Project Tamarisk — Halverson Materials / Northstar Cell Technologies</t>
  </si>
  <si>
    <t xml:space="preserve">Patent &amp; Technology Licence — Royalty and Milestone Model (illustrative)</t>
  </si>
  <si>
    <t xml:space="preserve">All figures £ unless stated. Royalty Rate, milestones and upfront per executed Licence dated 11 December 2025.</t>
  </si>
  <si>
    <t xml:space="preserve">Key assumptions (inputs)</t>
  </si>
  <si>
    <t xml:space="preserve">Upfront fee (£)</t>
  </si>
  <si>
    <t xml:space="preserve">Royalty Rate (% of Net Sales)</t>
  </si>
  <si>
    <t xml:space="preserve">Milestone M1 – first commercial line qualified (£)</t>
  </si>
  <si>
    <t xml:space="preserve">Milestone M2 – cumulative Net Sales &gt; £10m (£)</t>
  </si>
  <si>
    <t xml:space="preserve">Minimum Annual Royalty from Year 3 (£)</t>
  </si>
  <si>
    <t xml:space="preserve">Net Sales Year 1 (£)</t>
  </si>
  <si>
    <t xml:space="preserve">Net Sales Year 2 (£)</t>
  </si>
  <si>
    <t xml:space="preserve">Net Sales growth Year 3 onwards (% p.a.)</t>
  </si>
  <si>
    <t xml:space="preserve">Net Sales Year 3 (£)</t>
  </si>
  <si>
    <t xml:space="preserve">Projection (£)</t>
  </si>
  <si>
    <t xml:space="preserve">Line item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</si>
  <si>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</si>
  <si>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</si>
  <si>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</si>
  <si>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</si>
  <si>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</si>
  <si>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</si>
  <si>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</si>
  <si>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Total</t>
  </si>
  <si>
    <t xml:space="preserve">Net Sales</t>
  </si>
  <si>
    <t xml:space="preserve">Cumulative Net Sales</t>
  </si>
  <si>
    <t xml:space="preserve">Running royalty (Rate × Net Sales)</t>
  </si>
  <si>
    <t xml:space="preserve">Minimum royalty top-up (Yr 3+)</t>
  </si>
  <si>
    <t xml:space="preserve">Upfront fee</t>
  </si>
  <si>
    <t xml:space="preserve">Milestone M1 (line qualification, Yr 2)</t>
  </si>
  <si>
    <t xml:space="preserve">Milestone M2 (cum. Net Sales &gt; £10m)</t>
  </si>
  <si>
    <t xml:space="preserve">Total payable to Licensor</t>
  </si>
  <si>
    <t xml:space="preserve">Deal headline: £4,500,000 upfront + 4.5% running royalty + up to £5,000,000 milestones; £500,000 minimum annual royalty from Year 3.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</si>
</sst>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n">
        <v>4500000</v>
      </c>
    </row>
    <row r="7" customFormat="false" ht="15" hidden="false" customHeight="false" outlineLevel="0" collapsed="false">
      <c r="A7" s="5" t="s">
        <v>5</v>
      </c>
      <c r="B7" s="7" t="n">
        <v>0.045</v>
      </c>
    </row>
    <row r="8" customFormat="false" ht="15" hidden="false" customHeight="false" outlineLevel="0" collapsed="false">
      <c r="A8" s="5" t="s">
        <v>6</v>
      </c>
      <c r="B8" s="6" t="n">
        <v>2000000</v>
      </c>
    </row>
    <row r="9" customFormat="false" ht="15" hidden="false" customHeight="false" outlineLevel="0" collapsed="false">
      <c r="A9" s="5" t="s">
        <v>7</v>
      </c>
      <c r="B9" s="6" t="n">
        <v>3000000</v>
      </c>
    </row>
    <row r="10" customFormat="false" ht="15" hidden="false" customHeight="false" outlineLevel="0" collapsed="false">
      <c r="A10" s="5" t="s">
        <v>8</v>
      </c>
      <c r="B10" s="6" t="n">
        <v>500000</v>
      </c>
    </row>
    <row r="11" customFormat="false" ht="15" hidden="false" customHeight="false" outlineLevel="0" collapsed="false">
      <c r="A11" s="5" t="s">
        <v>9</v>
      </c>
      <c r="B11" s="6" t="n">
        <v>0</v>
      </c>
    </row>
    <row r="12" customFormat="false" ht="15" hidden="false" customHeight="false" outlineLevel="0" collapsed="false">
      <c r="A12" s="5" t="s">
        <v>10</v>
      </c>
      <c r="B12" s="6" t="n">
        <v>1500000</v>
      </c>
    </row>
    <row r="13" customFormat="false" ht="15" hidden="false" customHeight="false" outlineLevel="0" collapsed="false">
      <c r="A13" s="5" t="s">
        <v>11</v>
      </c>
      <c r="B13" s="7" t="n">
        <v>0.6</v>
      </c>
    </row>
    <row r="14" customFormat="false" ht="15" hidden="false" customHeight="false" outlineLevel="0" collapsed="false">
      <c r="A14" s="5" t="s">
        <v>12</v>
      </c>
      <c r="B14" s="6" t="n">
        <v>6000000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8" t="s">
        <v>14</v>
      </c>
      <c r="B18" s="8" t="s">
        <v>15</v>
      </c>
      <c r="C18" s="8" t="s">
        <v>16</v>
      </c>
      <c r="D18" s="8" t="s">
        <v>17</v>
      </c>
      <c r="E18" s="8" t="s">
        <v>18</v>
      </c>
      <c r="F18" s="8" t="s">
        <v>19</v>
      </c>
      <c r="G18" s="8" t="s">
        <v>20</v>
      </c>
      <c r="H18" s="8" t="s">
        <v>21</v>
      </c>
      <c r="I18" s="8" t="s">
        <v>22</v>
      </c>
    </row>
    <row r="19" customFormat="false" ht="15" hidden="false" customHeight="false" outlineLevel="0" collapsed="false">
      <c r="A19" s="9" t="s">
        <v>23</v>
      </c>
      <c r="B19" s="10" t="n">
        <f aca="false">B11</f>
        <v>0</v>
      </c>
      <c r="C19" s="10" t="n">
        <f aca="false">B12</f>
        <v>1500000</v>
      </c>
      <c r="D19" s="10" t="n">
        <f aca="false">B14</f>
        <v>6000000</v>
      </c>
      <c r="E19" s="10" t="n">
        <f aca="false">D19*(1+B13)</f>
        <v>9600000</v>
      </c>
      <c r="F19" s="10" t="n">
        <f aca="false">E19*(1+B13)</f>
        <v>15360000</v>
      </c>
      <c r="G19" s="10" t="n">
        <f aca="false">F19*(1+B13)</f>
        <v>24576000</v>
      </c>
      <c r="H19" s="10" t="n">
        <f aca="false">G19*(1+B13)</f>
        <v>39321600</v>
      </c>
      <c r="I19" s="10" t="n">
        <f aca="false">SUM(B19:H19)</f>
        <v>96357600</v>
      </c>
    </row>
    <row r="20" customFormat="false" ht="15" hidden="false" customHeight="false" outlineLevel="0" collapsed="false">
      <c r="A20" s="9" t="s">
        <v>24</v>
      </c>
      <c r="B20" s="10" t="n">
        <f aca="false">B19</f>
        <v>0</v>
      </c>
      <c r="C20" s="10" t="n">
        <f aca="false">B20+C19</f>
        <v>1500000</v>
      </c>
      <c r="D20" s="10" t="n">
        <f aca="false">C20+D19</f>
        <v>7500000</v>
      </c>
      <c r="E20" s="10" t="n">
        <f aca="false">D20+E19</f>
        <v>17100000</v>
      </c>
      <c r="F20" s="10" t="n">
        <f aca="false">E20+F19</f>
        <v>32460000</v>
      </c>
      <c r="G20" s="10" t="n">
        <f aca="false">F20+G19</f>
        <v>57036000</v>
      </c>
      <c r="H20" s="10" t="n">
        <f aca="false">G20+H19</f>
        <v>96357600</v>
      </c>
      <c r="I20" s="10"/>
    </row>
    <row r="21" customFormat="false" ht="15" hidden="false" customHeight="false" outlineLevel="0" collapsed="false">
      <c r="A21" s="9" t="s">
        <v>25</v>
      </c>
      <c r="B21" s="10" t="n">
        <f aca="false">B19*B7</f>
        <v>0</v>
      </c>
      <c r="C21" s="10" t="n">
        <f aca="false">C19*B7</f>
        <v>67500</v>
      </c>
      <c r="D21" s="10" t="n">
        <f aca="false">D19*B7</f>
        <v>270000</v>
      </c>
      <c r="E21" s="10" t="n">
        <f aca="false">E19*B7</f>
        <v>432000</v>
      </c>
      <c r="F21" s="10" t="n">
        <f aca="false">F19*B7</f>
        <v>691200</v>
      </c>
      <c r="G21" s="10" t="n">
        <f aca="false">G19*B7</f>
        <v>1105920</v>
      </c>
      <c r="H21" s="10" t="n">
        <f aca="false">H19*B7</f>
        <v>1769472</v>
      </c>
      <c r="I21" s="10" t="n">
        <f aca="false">SUM(B21:H21)</f>
        <v>4336092</v>
      </c>
    </row>
    <row r="22" customFormat="false" ht="15" hidden="false" customHeight="false" outlineLevel="0" collapsed="false">
      <c r="A22" s="9" t="s">
        <v>26</v>
      </c>
      <c r="B22" s="11" t="n">
        <v>0</v>
      </c>
      <c r="C22" s="11" t="n">
        <v>0</v>
      </c>
      <c r="D22" s="10" t="n">
        <f aca="false">MAX(0,B10-D21)</f>
        <v>230000</v>
      </c>
      <c r="E22" s="10" t="n">
        <f aca="false">MAX(0,B10-E21)</f>
        <v>68000</v>
      </c>
      <c r="F22" s="10" t="n">
        <f aca="false">MAX(0,B10-F21)</f>
        <v>0</v>
      </c>
      <c r="G22" s="10" t="n">
        <f aca="false">MAX(0,B10-G21)</f>
        <v>0</v>
      </c>
      <c r="H22" s="10" t="n">
        <f aca="false">MAX(0,B10-H21)</f>
        <v>0</v>
      </c>
      <c r="I22" s="10" t="n">
        <f aca="false">SUM(B22:H22)</f>
        <v>298000</v>
      </c>
    </row>
    <row r="23" customFormat="false" ht="15" hidden="false" customHeight="false" outlineLevel="0" collapsed="false">
      <c r="A23" s="9" t="s">
        <v>27</v>
      </c>
      <c r="B23" s="10" t="n">
        <f aca="false">B6</f>
        <v>4500000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0" t="n">
        <f aca="false">SUM(B23:H23)</f>
        <v>4500000</v>
      </c>
    </row>
    <row r="24" customFormat="false" ht="15" hidden="false" customHeight="false" outlineLevel="0" collapsed="false">
      <c r="A24" s="9" t="s">
        <v>28</v>
      </c>
      <c r="B24" s="11" t="n">
        <v>0</v>
      </c>
      <c r="C24" s="11" t="n">
        <f aca="false">B8</f>
        <v>2000000</v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0" t="n">
        <f aca="false">SUM(B24:H24)</f>
        <v>2000000</v>
      </c>
    </row>
    <row r="25" customFormat="false" ht="15" hidden="false" customHeight="false" outlineLevel="0" collapsed="false">
      <c r="A25" s="9" t="s">
        <v>29</v>
      </c>
      <c r="B25" s="10" t="n">
        <f aca="false">IF(AND(B20&gt;10000000,0&lt;10000000),B9,0)</f>
        <v>0</v>
      </c>
      <c r="C25" s="10" t="n">
        <f aca="false">IF(AND(C20&gt;10000000,B20&lt;=10000000),B9,0)</f>
        <v>0</v>
      </c>
      <c r="D25" s="10" t="n">
        <f aca="false">IF(AND(D20&gt;10000000,C20&lt;=10000000),B9,0)</f>
        <v>0</v>
      </c>
      <c r="E25" s="10" t="n">
        <f aca="false">IF(AND(E20&gt;10000000,D20&lt;=10000000),B9,0)</f>
        <v>3000000</v>
      </c>
      <c r="F25" s="10" t="n">
        <f aca="false">IF(AND(F20&gt;10000000,E20&lt;=10000000),B9,0)</f>
        <v>0</v>
      </c>
      <c r="G25" s="10" t="n">
        <f aca="false">IF(AND(G20&gt;10000000,F20&lt;=10000000),B9,0)</f>
        <v>0</v>
      </c>
      <c r="H25" s="10" t="n">
        <f aca="false">IF(AND(H20&gt;10000000,G20&lt;=10000000),B9,0)</f>
        <v>0</v>
      </c>
      <c r="I25" s="10" t="n">
        <f aca="false">SUM(B25:H25)</f>
        <v>3000000</v>
      </c>
    </row>
    <row r="26" customFormat="false" ht="15" hidden="false" customHeight="false" outlineLevel="0" collapsed="false">
      <c r="A26" s="12"/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false" outlineLevel="0" collapsed="false">
      <c r="A27" s="13" t="s">
        <v>30</v>
      </c>
      <c r="B27" s="14" t="n">
        <f aca="false">B21+B22+B23+B24+B25</f>
        <v>4500000</v>
      </c>
      <c r="C27" s="14" t="n">
        <f aca="false">C21+C22+C23+C24+C25</f>
        <v>2067500</v>
      </c>
      <c r="D27" s="14" t="n">
        <f aca="false">D21+D22+D23+D24+D25</f>
        <v>500000</v>
      </c>
      <c r="E27" s="14" t="n">
        <f aca="false">E21+E22+E23+E24+E25</f>
        <v>3500000</v>
      </c>
      <c r="F27" s="14" t="n">
        <f aca="false">F21+F22+F23+F24+F25</f>
        <v>691200</v>
      </c>
      <c r="G27" s="14" t="n">
        <f aca="false">G21+G22+G23+G24+G25</f>
        <v>1105920</v>
      </c>
      <c r="H27" s="14" t="n">
        <f aca="false">H21+H22+H23+H24+H25</f>
        <v>1769472</v>
      </c>
      <c r="I27" s="14" t="n">
        <f aca="false">SUM(B27:H27)</f>
        <v>14134092</v>
      </c>
    </row>
    <row r="29" customFormat="false" ht="15" hidden="false" customHeight="false" outlineLevel="0" collapsed="false">
      <c r="A29" s="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2026-06-28T19:45:20Z</dcterms:created>
  <dc:creator>openpyxl</dc:creator>
  <dc:description/>
  <dc:language>en-US</dc:language>
  <cp:lastModifiedBy/>
  <dcterms:modified xsi:type="dcterms:W3CDTF">2026-06-28T19:45:20Z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