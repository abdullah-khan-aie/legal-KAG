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  <color rgb="00666666"/>
      <sz val="9"/>
    </font>
    <font>
      <b val="1"/>
      <color rgb="00FFFFFF"/>
    </font>
    <font>
      <b val="1"/>
    </font>
    <font>
      <i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5" fillId="0" borderId="1" pivotButton="0" quotePrefix="0" xfId="0"/>
    <xf numFmtId="3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2" fillId="0" borderId="1" pivotButton="0" quotePrefix="0" xfId="0"/>
    <xf numFmtId="3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7" customWidth="1" min="4" max="4"/>
    <col width="11" customWidth="1" min="5" max="5"/>
    <col width="14" customWidth="1" min="6" max="6"/>
  </cols>
  <sheetData>
    <row r="1">
      <c r="A1" s="1" t="inlineStr">
        <is>
          <t>Ashfield Dynamics Limited v Marwick Drives Limited</t>
        </is>
      </c>
    </row>
    <row r="2">
      <c r="A2" s="2" t="inlineStr">
        <is>
          <t>Claim No. BL-2025-000412 — Schedule of Loss</t>
        </is>
      </c>
    </row>
    <row r="3">
      <c r="A3" s="3" t="inlineStr">
        <is>
          <t>Prepared by Whitfield Carter LLP — served 11 April 2025. All figures exclude VAT.</t>
        </is>
      </c>
    </row>
    <row r="5">
      <c r="A5" s="4" t="inlineStr">
        <is>
          <t>Item</t>
        </is>
      </c>
      <c r="B5" s="4" t="inlineStr">
        <is>
          <t>Head of loss</t>
        </is>
      </c>
      <c r="C5" s="4" t="inlineStr">
        <is>
          <t>Detail</t>
        </is>
      </c>
      <c r="D5" s="4" t="inlineStr">
        <is>
          <t>Qty</t>
        </is>
      </c>
      <c r="E5" s="4" t="inlineStr">
        <is>
          <t>Unit (£)</t>
        </is>
      </c>
      <c r="F5" s="4" t="inlineStr">
        <is>
          <t>Amount (£)</t>
        </is>
      </c>
    </row>
    <row r="6">
      <c r="A6" s="5" t="inlineStr">
        <is>
          <t>1</t>
        </is>
      </c>
      <c r="B6" s="5" t="inlineStr">
        <is>
          <t>Replacement gearmotor units</t>
        </is>
      </c>
      <c r="C6" s="5" t="inlineStr">
        <is>
          <t>Renforth Drives RF-460 units to replace failed MD-450 units</t>
        </is>
      </c>
      <c r="D6" s="5" t="n">
        <v>60</v>
      </c>
      <c r="E6" s="6" t="n">
        <v>3600</v>
      </c>
      <c r="F6" s="6">
        <f>D6*E6</f>
        <v/>
      </c>
    </row>
    <row r="7">
      <c r="A7" s="5" t="inlineStr">
        <is>
          <t>2</t>
        </is>
      </c>
      <c r="B7" s="5" t="inlineStr">
        <is>
          <t>Less: betterment credit</t>
        </is>
      </c>
      <c r="C7" s="5" t="inlineStr">
        <is>
          <t>Voluntary deduction for higher specification of replacements</t>
        </is>
      </c>
      <c r="D7" s="5" t="n">
        <v>1</v>
      </c>
      <c r="E7" s="6" t="n">
        <v>-2000</v>
      </c>
      <c r="F7" s="6">
        <f>D7*E7</f>
        <v/>
      </c>
    </row>
    <row r="8">
      <c r="A8" s="5" t="inlineStr">
        <is>
          <t>3</t>
        </is>
      </c>
      <c r="B8" s="5" t="inlineStr">
        <is>
          <t>Removal &amp; reinstallation labour</t>
        </is>
      </c>
      <c r="C8" s="5" t="inlineStr">
        <is>
          <t>Strip-out of failed units and refit (1,570 hrs @ £50)</t>
        </is>
      </c>
      <c r="D8" s="5" t="n">
        <v>1570</v>
      </c>
      <c r="E8" s="6" t="n">
        <v>50</v>
      </c>
      <c r="F8" s="6">
        <f>D8*E8</f>
        <v/>
      </c>
    </row>
    <row r="9">
      <c r="A9" s="5" t="inlineStr">
        <is>
          <t>4</t>
        </is>
      </c>
      <c r="B9" s="5" t="inlineStr">
        <is>
          <t>Expedited freight &amp; handling</t>
        </is>
      </c>
      <c r="C9" s="5" t="inlineStr">
        <is>
          <t>Air/express freight to meet customer deadlines</t>
        </is>
      </c>
      <c r="D9" s="5" t="n">
        <v>1</v>
      </c>
      <c r="E9" s="6" t="n">
        <v>12400</v>
      </c>
      <c r="F9" s="6">
        <f>D9*E9</f>
        <v/>
      </c>
    </row>
    <row r="10">
      <c r="A10" s="5" t="inlineStr">
        <is>
          <t>5</t>
        </is>
      </c>
      <c r="B10" s="5" t="inlineStr">
        <is>
          <t>Liquidated damages to Halcyon Retail</t>
        </is>
      </c>
      <c r="C10" s="5" t="inlineStr">
        <is>
          <t>LDs paid under cl.14 of supply agreement for line downtime</t>
        </is>
      </c>
      <c r="D10" s="5" t="n">
        <v>1</v>
      </c>
      <c r="E10" s="6" t="n">
        <v>95000</v>
      </c>
      <c r="F10" s="6">
        <f>D10*E10</f>
        <v/>
      </c>
    </row>
    <row r="11">
      <c r="A11" s="5" t="inlineStr">
        <is>
          <t>6</t>
        </is>
      </c>
      <c r="B11" s="5" t="inlineStr">
        <is>
          <t>Investigation &amp; expert costs</t>
        </is>
      </c>
      <c r="C11" s="5" t="inlineStr">
        <is>
          <t>Renshaw Drive Engineering investigation and report</t>
        </is>
      </c>
      <c r="D11" s="5" t="n">
        <v>1</v>
      </c>
      <c r="E11" s="6" t="n">
        <v>18600</v>
      </c>
      <c r="F11" s="6">
        <f>D11*E11</f>
        <v/>
      </c>
    </row>
    <row r="12">
      <c r="A12" s="5" t="n"/>
      <c r="B12" s="7" t="inlineStr">
        <is>
          <t>Sub-total (damages)</t>
        </is>
      </c>
      <c r="C12" s="5" t="n"/>
      <c r="D12" s="5" t="n"/>
      <c r="E12" s="5" t="n"/>
      <c r="F12" s="8">
        <f>SUM(F6:F11)</f>
        <v/>
      </c>
    </row>
    <row r="13">
      <c r="A13" s="5" t="n"/>
      <c r="B13" s="9" t="inlineStr">
        <is>
          <t>Interest (s.35A SCA 1981, claimed)</t>
        </is>
      </c>
      <c r="C13" s="10" t="inlineStr">
        <is>
          <t>8% p.a. on damages from 10 Jan 2025 to issue (to be assessed)</t>
        </is>
      </c>
      <c r="D13" s="5" t="n"/>
      <c r="E13" s="5" t="n"/>
      <c r="F13" s="6">
        <f>ROUND(F12*0.08*(91/365),0)</f>
        <v/>
      </c>
    </row>
    <row r="14">
      <c r="A14" s="5" t="n"/>
      <c r="B14" s="11" t="inlineStr">
        <is>
          <t>TOTAL CLAIM (excl. costs)</t>
        </is>
      </c>
      <c r="C14" s="5" t="n"/>
      <c r="D14" s="5" t="n"/>
      <c r="E14" s="5" t="n"/>
      <c r="F14" s="12">
        <f>F12+F13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2026-06-30T11:18:58Z</dcterms:created>
  <dcterms:modified xmlns:dcterms="http://purl.org/dc/terms/" xmlns:xsi="http://www.w3.org/2001/XMLSchema-instance" xsi:type="dcterms:W3CDTF">2026-06-30T11:18:58Z</dcterms:modified>
</cp:coreProperties>
</file>