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  <sheet name="Calculations" sheetId="2" state="visible" r:id="rId4"/>
    <sheet name="Rent 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<sst xmlns="http://schemas.openxmlformats.org/spreadsheetml/2006/main" count="72" uniqueCount="71">
  <si>
    <t xml:space="preserve">COMPLETION STATEMENT</t>
  </si>
  <si>
    <t xml:space="preserve">Purchase of Calderdale House, 14–18 Sefton Street, Manchester M3 4AP</t>
  </si>
  <si>
    <t xml:space="preserve">Buyer: Ellwood Estates Partners Limited  |  Seller: Westmere Property Trust Limited</t>
  </si>
  <si>
    <t xml:space="preserve">Whitfield Carter LLP  |  Ref SW/EM/Calderdale (WC-00165)  |  Completion: 28 March 2025</t>
  </si>
  <si>
    <t xml:space="preserve">Key figures (inputs)</t>
  </si>
  <si>
    <t xml:space="preserve">Purchase price (exclusive of VAT)</t>
  </si>
  <si>
    <t xml:space="preserve">Agreed per executed contract dated 07.03.2025</t>
  </si>
  <si>
    <t xml:space="preserve">Deposit paid on exchange (10%)</t>
  </si>
  <si>
    <t xml:space="preserve">Paid 07.03.2025 to Seller's solicitors as stakeholder</t>
  </si>
  <si>
    <t xml:space="preserve">Completion date</t>
  </si>
  <si>
    <t xml:space="preserve">28 March 2025</t>
  </si>
  <si>
    <t xml:space="preserve">Apportionment day</t>
  </si>
  <si>
    <t xml:space="preserve">Days in quarter (25.03.2025–23.06.2025)</t>
  </si>
  <si>
    <t xml:space="preserve">Mar quarter day to day before Jun quarter day</t>
  </si>
  <si>
    <t xml:space="preserve">Days from completion to quarter end (incl.)</t>
  </si>
  <si>
    <t xml:space="preserve">28.03.2025 to 23.06.2025 inclusive</t>
  </si>
  <si>
    <t xml:space="preserve">COMPLETION ACCOUNT</t>
  </si>
  <si>
    <t xml:space="preserve">Due to Seller (£)</t>
  </si>
  <si>
    <t xml:space="preserve">Note</t>
  </si>
  <si>
    <t xml:space="preserve">Purchase price</t>
  </si>
  <si>
    <t xml:space="preserve">Per executed contract</t>
  </si>
  <si>
    <t xml:space="preserve">Less: deposit paid on exchange</t>
  </si>
  <si>
    <t xml:space="preserve">10% paid 07.03.2025</t>
  </si>
  <si>
    <t xml:space="preserve">Add: rent apportionment (advance) — Buyer's share to Seller</t>
  </si>
  <si>
    <t xml:space="preserve">Quarter's rent £150,375 apportioned 88/91 days from completion</t>
  </si>
  <si>
    <t xml:space="preserve">Add: service charge on account apportionment to Seller</t>
  </si>
  <si>
    <t xml:space="preserve">SC budget £148,200 p.a.; quarter on account apportioned 88/91 days</t>
  </si>
  <si>
    <t xml:space="preserve">Less: rent deposit transferred to Buyer (Castleford Media)</t>
  </si>
  <si>
    <t xml:space="preserve">Deposit assigned to Buyer on completion</t>
  </si>
  <si>
    <t xml:space="preserve">BALANCE DUE TO SELLER ON COMPLETION</t>
  </si>
  <si>
    <t xml:space="preserve">BUYER'S FUNDS REQUIRED ON COMPLETION</t>
  </si>
  <si>
    <t xml:space="preserve">Amount (£)</t>
  </si>
  <si>
    <t xml:space="preserve">Balance of purchase price due to Seller</t>
  </si>
  <si>
    <t xml:space="preserve">SDLT payable (non-residential)</t>
  </si>
  <si>
    <t xml:space="preserve">HM Land Registry fee (AP1)</t>
  </si>
  <si>
    <t xml:space="preserve">Scale 1 fee, value &gt; £1m (electronic)</t>
  </si>
  <si>
    <t xml:space="preserve">Whitfield Carter fees and disbursements (est.)</t>
  </si>
  <si>
    <t xml:space="preserve">£20,500 fees + VAT + search disbursements</t>
  </si>
  <si>
    <t xml:space="preserve">TOTAL FUNDS REQUIRED FROM BUYER</t>
  </si>
  <si>
    <t xml:space="preserve">SDLT CALCULATION — non-residential freehold</t>
  </si>
  <si>
    <t xml:space="preserve">Consideration (£)</t>
  </si>
  <si>
    <t xml:space="preserve">Band</t>
  </si>
  <si>
    <t xml:space="preserve">Rate</t>
  </si>
  <si>
    <t xml:space="preserve">Slice (£)</t>
  </si>
  <si>
    <t xml:space="preserve">SDLT (£)</t>
  </si>
  <si>
    <t xml:space="preserve">Up to £150,000</t>
  </si>
  <si>
    <t xml:space="preserve">£150,001 to £250,000</t>
  </si>
  <si>
    <t xml:space="preserve">Above £250,000</t>
  </si>
  <si>
    <t xml:space="preserve">Total SDLT</t>
  </si>
  <si>
    <t xml:space="preserve">SDLT total (linked)</t>
  </si>
  <si>
    <t xml:space="preserve">OCCUPATIONAL RENT SCHEDULE</t>
  </si>
  <si>
    <t xml:space="preserve">Tenant</t>
  </si>
  <si>
    <t xml:space="preserve">Floor</t>
  </si>
  <si>
    <t xml:space="preserve">Rent p.a. (£)</t>
  </si>
  <si>
    <t xml:space="preserve">Rent p.q. (£)</t>
  </si>
  <si>
    <t xml:space="preserve">Next review</t>
  </si>
  <si>
    <t xml:space="preserve">Lease expiry</t>
  </si>
  <si>
    <t xml:space="preserve">Harlow Reed Consulting LLP</t>
  </si>
  <si>
    <t xml:space="preserve">2nd &amp; 3rd</t>
  </si>
  <si>
    <t xml:space="preserve">25.03.2024 (settled)</t>
  </si>
  <si>
    <t xml:space="preserve">24.03.2029</t>
  </si>
  <si>
    <t xml:space="preserve">Northbank Insurance Services Ltd</t>
  </si>
  <si>
    <t xml:space="preserve">1st</t>
  </si>
  <si>
    <t xml:space="preserve">29.09.2025</t>
  </si>
  <si>
    <t xml:space="preserve">28.09.2030</t>
  </si>
  <si>
    <t xml:space="preserve">Castleford Media Limited</t>
  </si>
  <si>
    <t xml:space="preserve">Ground &amp; part LG</t>
  </si>
  <si>
    <t xml:space="preserve">n/a (5-yr term)</t>
  </si>
  <si>
    <t xml:space="preserve">23.06.2027</t>
  </si>
  <si>
    <t xml:space="preserve">Total passing rent</t>
  </si>
  <si>
    <t xml:space="preserve">Net initial yield on purchase price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</si>
</sst>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;[RED]&quot;(£&quot;#,##0.00\)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008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4" t="s">
        <v>5</v>
      </c>
      <c r="C7" s="5" t="n">
        <v>8450000</v>
      </c>
      <c r="D7" s="3" t="s">
        <v>6</v>
      </c>
    </row>
    <row r="8" customFormat="false" ht="15" hidden="false" customHeight="false" outlineLevel="0" collapsed="false">
      <c r="A8" s="4" t="s">
        <v>7</v>
      </c>
      <c r="C8" s="5" t="n">
        <v>845000</v>
      </c>
      <c r="D8" s="3" t="s">
        <v>8</v>
      </c>
    </row>
    <row r="9" customFormat="false" ht="15" hidden="false" customHeight="false" outlineLevel="0" collapsed="false">
      <c r="A9" s="4" t="s">
        <v>9</v>
      </c>
      <c r="C9" s="6" t="s">
        <v>10</v>
      </c>
      <c r="D9" s="3"/>
    </row>
    <row r="10" customFormat="false" ht="15" hidden="false" customHeight="false" outlineLevel="0" collapsed="false">
      <c r="A10" s="4" t="s">
        <v>11</v>
      </c>
      <c r="C10" s="6" t="s">
        <v>10</v>
      </c>
      <c r="D10" s="3"/>
    </row>
    <row r="11" customFormat="false" ht="15" hidden="false" customHeight="false" outlineLevel="0" collapsed="false">
      <c r="A11" s="4" t="s">
        <v>12</v>
      </c>
      <c r="C11" s="6" t="n">
        <v>91</v>
      </c>
      <c r="D11" s="3" t="s">
        <v>13</v>
      </c>
    </row>
    <row r="12" customFormat="false" ht="15" hidden="false" customHeight="false" outlineLevel="0" collapsed="false">
      <c r="A12" s="4" t="s">
        <v>14</v>
      </c>
      <c r="C12" s="6" t="n">
        <v>88</v>
      </c>
      <c r="D12" s="3" t="s">
        <v>15</v>
      </c>
    </row>
    <row r="14" customFormat="false" ht="15" hidden="false" customHeight="false" outlineLevel="0" collapsed="false">
      <c r="A14" s="7" t="s">
        <v>16</v>
      </c>
      <c r="B14" s="8"/>
      <c r="C14" s="9" t="s">
        <v>17</v>
      </c>
      <c r="D14" s="7" t="s">
        <v>18</v>
      </c>
    </row>
    <row r="15" customFormat="false" ht="15" hidden="false" customHeight="false" outlineLevel="0" collapsed="false">
      <c r="A15" s="4" t="s">
        <v>19</v>
      </c>
      <c r="C15" s="10" t="n">
        <f aca="false">$C$7</f>
        <v>8450000</v>
      </c>
      <c r="D15" s="3" t="s">
        <v>20</v>
      </c>
    </row>
    <row r="16" customFormat="false" ht="15" hidden="false" customHeight="false" outlineLevel="0" collapsed="false">
      <c r="A16" s="4" t="s">
        <v>21</v>
      </c>
      <c r="C16" s="10" t="n">
        <f aca="false">-$C$8</f>
        <v>-845000</v>
      </c>
      <c r="D16" s="3" t="s">
        <v>22</v>
      </c>
    </row>
    <row r="17" customFormat="false" ht="15" hidden="false" customHeight="false" outlineLevel="0" collapsed="false">
      <c r="A17" s="4" t="s">
        <v>23</v>
      </c>
      <c r="C17" s="10" t="n">
        <f aca="false">ROUND((601500/4)*($C$12/$C$11),2)</f>
        <v>145417.58</v>
      </c>
      <c r="D17" s="3" t="s">
        <v>24</v>
      </c>
    </row>
    <row r="18" customFormat="false" ht="15" hidden="false" customHeight="false" outlineLevel="0" collapsed="false">
      <c r="A18" s="4" t="s">
        <v>25</v>
      </c>
      <c r="C18" s="10" t="n">
        <f aca="false">ROUND((148200/4)*($C$12/$C$11),2)</f>
        <v>35828.57</v>
      </c>
      <c r="D18" s="3" t="s">
        <v>26</v>
      </c>
    </row>
    <row r="19" customFormat="false" ht="15" hidden="false" customHeight="false" outlineLevel="0" collapsed="false">
      <c r="A19" s="4" t="s">
        <v>27</v>
      </c>
      <c r="C19" s="10" t="n">
        <v>-29250</v>
      </c>
      <c r="D19" s="3" t="s">
        <v>28</v>
      </c>
    </row>
    <row r="20" customFormat="false" ht="15" hidden="false" customHeight="false" outlineLevel="0" collapsed="false">
      <c r="A20" s="11" t="s">
        <v>29</v>
      </c>
      <c r="B20" s="12"/>
      <c r="C20" s="13" t="n">
        <f aca="false">SUM(C15:C19)</f>
        <v>7756996.15</v>
      </c>
      <c r="D20" s="12"/>
    </row>
    <row r="22" customFormat="false" ht="15" hidden="false" customHeight="false" outlineLevel="0" collapsed="false">
      <c r="A22" s="7" t="s">
        <v>30</v>
      </c>
      <c r="B22" s="8"/>
      <c r="C22" s="9" t="s">
        <v>31</v>
      </c>
      <c r="D22" s="8"/>
    </row>
    <row r="23" customFormat="false" ht="15" hidden="false" customHeight="false" outlineLevel="0" collapsed="false">
      <c r="A23" s="4" t="s">
        <v>32</v>
      </c>
      <c r="C23" s="10" t="n">
        <f aca="false">C20</f>
        <v>7756996.15</v>
      </c>
    </row>
    <row r="24" customFormat="false" ht="15" hidden="false" customHeight="false" outlineLevel="0" collapsed="false">
      <c r="A24" s="4" t="s">
        <v>33</v>
      </c>
      <c r="C24" s="10" t="n">
        <f aca="false">Calculations!C12</f>
        <v>412000</v>
      </c>
    </row>
    <row r="25" customFormat="false" ht="15" hidden="false" customHeight="false" outlineLevel="0" collapsed="false">
      <c r="A25" s="4" t="s">
        <v>34</v>
      </c>
      <c r="C25" s="10" t="n">
        <v>910</v>
      </c>
      <c r="D25" s="3" t="s">
        <v>35</v>
      </c>
    </row>
    <row r="26" customFormat="false" ht="15" hidden="false" customHeight="false" outlineLevel="0" collapsed="false">
      <c r="A26" s="4" t="s">
        <v>36</v>
      </c>
      <c r="C26" s="10" t="n">
        <v>24600</v>
      </c>
      <c r="D26" s="3" t="s">
        <v>37</v>
      </c>
    </row>
    <row r="27" customFormat="false" ht="15" hidden="false" customHeight="false" outlineLevel="0" collapsed="false">
      <c r="A27" s="11" t="s">
        <v>38</v>
      </c>
      <c r="B27" s="12"/>
      <c r="C27" s="13" t="n">
        <f aca="false">SUM(C23:C26)</f>
        <v>8194506.15</v>
      </c>
      <c r="D27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2" t="s">
        <v>40</v>
      </c>
      <c r="C3" s="14" t="n">
        <f aca="false">'Completion Statement'!C7</f>
        <v>8450000</v>
      </c>
    </row>
    <row r="4" customFormat="false" ht="15" hidden="false" customHeight="false" outlineLevel="0" collapsed="false">
      <c r="A4" s="7" t="s">
        <v>41</v>
      </c>
      <c r="B4" s="7" t="s">
        <v>42</v>
      </c>
      <c r="C4" s="7" t="s">
        <v>43</v>
      </c>
      <c r="D4" s="7" t="s">
        <v>44</v>
      </c>
    </row>
    <row r="5" customFormat="false" ht="15" hidden="false" customHeight="false" outlineLevel="0" collapsed="false">
      <c r="A5" s="4" t="s">
        <v>45</v>
      </c>
      <c r="B5" s="15" t="n">
        <v>0</v>
      </c>
      <c r="C5" s="10" t="n">
        <f aca="false">MIN(C3,150000)</f>
        <v>150000</v>
      </c>
      <c r="D5" s="10" t="n">
        <f aca="false">C5*B5</f>
        <v>0</v>
      </c>
    </row>
    <row r="6" customFormat="false" ht="15" hidden="false" customHeight="false" outlineLevel="0" collapsed="false">
      <c r="A6" s="4" t="s">
        <v>46</v>
      </c>
      <c r="B6" s="15" t="n">
        <v>0.02</v>
      </c>
      <c r="C6" s="10" t="n">
        <f aca="false">MAX(0,MIN(C3,250000)-150000)</f>
        <v>100000</v>
      </c>
      <c r="D6" s="10" t="n">
        <f aca="false">C6*B6</f>
        <v>2000</v>
      </c>
    </row>
    <row r="7" customFormat="false" ht="15" hidden="false" customHeight="false" outlineLevel="0" collapsed="false">
      <c r="A7" s="4" t="s">
        <v>47</v>
      </c>
      <c r="B7" s="15" t="n">
        <v>0.05</v>
      </c>
      <c r="C7" s="10" t="n">
        <f aca="false">MAX(0,C3-250000)</f>
        <v>8200000</v>
      </c>
      <c r="D7" s="10" t="n">
        <f aca="false">C7*B7</f>
        <v>410000</v>
      </c>
    </row>
    <row r="8" customFormat="false" ht="15" hidden="false" customHeight="false" outlineLevel="0" collapsed="false">
      <c r="A8" s="11" t="s">
        <v>48</v>
      </c>
      <c r="B8" s="12"/>
      <c r="C8" s="12"/>
      <c r="D8" s="13" t="n">
        <f aca="false">SUM(D5:D7)</f>
        <v>412000</v>
      </c>
    </row>
    <row r="12" customFormat="false" ht="15" hidden="false" customHeight="false" outlineLevel="0" collapsed="false">
      <c r="A12" s="2" t="s">
        <v>49</v>
      </c>
      <c r="C12" s="16" t="n">
        <f aca="false">D8</f>
        <v>412000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50</v>
      </c>
    </row>
    <row r="3" customFormat="false" ht="15" hidden="false" customHeight="false" outlineLevel="0" collapsed="false">
      <c r="A3" s="17" t="s">
        <v>51</v>
      </c>
      <c r="B3" s="17" t="s">
        <v>52</v>
      </c>
      <c r="C3" s="17" t="s">
        <v>53</v>
      </c>
      <c r="D3" s="17" t="s">
        <v>54</v>
      </c>
      <c r="E3" s="17" t="s">
        <v>55</v>
      </c>
      <c r="F3" s="17" t="s">
        <v>56</v>
      </c>
    </row>
    <row r="4" customFormat="false" ht="15" hidden="false" customHeight="false" outlineLevel="0" collapsed="false">
      <c r="A4" s="18" t="s">
        <v>57</v>
      </c>
      <c r="B4" s="18" t="s">
        <v>58</v>
      </c>
      <c r="C4" s="19" t="n">
        <v>286000</v>
      </c>
      <c r="D4" s="19" t="n">
        <f aca="false">C4/4</f>
        <v>71500</v>
      </c>
      <c r="E4" s="18" t="s">
        <v>59</v>
      </c>
      <c r="F4" s="18" t="s">
        <v>60</v>
      </c>
    </row>
    <row r="5" customFormat="false" ht="15" hidden="false" customHeight="false" outlineLevel="0" collapsed="false">
      <c r="A5" s="18" t="s">
        <v>61</v>
      </c>
      <c r="B5" s="18" t="s">
        <v>62</v>
      </c>
      <c r="C5" s="19" t="n">
        <v>198500</v>
      </c>
      <c r="D5" s="19" t="n">
        <f aca="false">C5/4</f>
        <v>49625</v>
      </c>
      <c r="E5" s="18" t="s">
        <v>63</v>
      </c>
      <c r="F5" s="18" t="s">
        <v>64</v>
      </c>
    </row>
    <row r="6" customFormat="false" ht="15" hidden="false" customHeight="false" outlineLevel="0" collapsed="false">
      <c r="A6" s="18" t="s">
        <v>65</v>
      </c>
      <c r="B6" s="18" t="s">
        <v>66</v>
      </c>
      <c r="C6" s="19" t="n">
        <v>117000</v>
      </c>
      <c r="D6" s="19" t="n">
        <f aca="false">C6/4</f>
        <v>29250</v>
      </c>
      <c r="E6" s="18" t="s">
        <v>67</v>
      </c>
      <c r="F6" s="18" t="s">
        <v>68</v>
      </c>
    </row>
    <row r="7" customFormat="false" ht="15" hidden="false" customHeight="false" outlineLevel="0" collapsed="false">
      <c r="A7" s="11" t="s">
        <v>69</v>
      </c>
      <c r="C7" s="13" t="n">
        <f aca="false">SUM(C4:C6)</f>
        <v>601500</v>
      </c>
      <c r="D7" s="13" t="n">
        <f aca="false">SUM(D4:D6)</f>
        <v>150375</v>
      </c>
    </row>
    <row r="9" customFormat="false" ht="15" hidden="false" customHeight="false" outlineLevel="0" collapsed="false">
      <c r="A9" s="2" t="s">
        <v>70</v>
      </c>
      <c r="C9" s="20" t="n">
        <f aca="false">C7/'Completion Statement'!C7</f>
        <v>0.0711834319526627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2026-06-28T14:39:29Z</dcterms:created>
  <dc:creator>openpyxl</dc:creator>
  <dc:description/>
  <dc:language>en-US</dc:language>
  <cp:lastModifiedBy/>
  <dcterms:modified xsi:type="dcterms:W3CDTF">2026-06-28T14:39:29Z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