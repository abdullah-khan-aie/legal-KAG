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f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0" fillId="4" borderId="0" pivotButton="0" quotePrefix="0" xfId="0"/>
    <xf numFmtId="0" fontId="5" fillId="4" borderId="0" pivotButton="0" quotePrefix="0" xfId="0"/>
    <xf numFmtId="164" fontId="5" fillId="4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40" customWidth="1" min="3" max="3"/>
    <col width="12" customWidth="1" min="4" max="4"/>
    <col width="14" customWidth="1" min="5" max="5"/>
    <col width="16" customWidth="1" min="6" max="6"/>
  </cols>
  <sheetData>
    <row r="1">
      <c r="A1" s="1" t="inlineStr">
        <is>
          <t>MARLDALE AGGREGATES LIMITED v CRAYFORD PLANT ENGINEERING LIMITED</t>
        </is>
      </c>
    </row>
    <row r="2">
      <c r="A2" s="2" t="inlineStr">
        <is>
          <t>SCHEDULE OF LOSS  |  Claim No. BL-2025-LDS-000241  |  Prepared 4 April 2025</t>
        </is>
      </c>
    </row>
    <row r="4">
      <c r="A4" s="3" t="inlineStr">
        <is>
          <t>Ref</t>
        </is>
      </c>
      <c r="B4" s="3" t="inlineStr">
        <is>
          <t>Head of loss / item</t>
        </is>
      </c>
      <c r="C4" s="3" t="inlineStr">
        <is>
          <t>Basis</t>
        </is>
      </c>
      <c r="D4" s="3" t="inlineStr">
        <is>
          <t>Qty / Days</t>
        </is>
      </c>
      <c r="E4" s="3" t="inlineStr">
        <is>
          <t>Rate (£)</t>
        </is>
      </c>
      <c r="F4" s="3" t="inlineStr">
        <is>
          <t>Amount (£)</t>
        </is>
      </c>
    </row>
    <row r="5">
      <c r="A5" s="4" t="inlineStr">
        <is>
          <t>A</t>
        </is>
      </c>
      <c r="B5" s="4" t="inlineStr">
        <is>
          <t>COST OF REMEDIAL &amp; REPLACEMENT WORKS</t>
        </is>
      </c>
      <c r="C5" s="5" t="n"/>
      <c r="D5" s="5" t="n"/>
      <c r="E5" s="5" t="n"/>
      <c r="F5" s="5" t="n"/>
    </row>
    <row r="6">
      <c r="A6" t="inlineStr">
        <is>
          <t>A1</t>
        </is>
      </c>
      <c r="B6" t="inlineStr">
        <is>
          <t>Hire of substitute mobile crushing spread (Sep 2024 – Feb 2025)</t>
        </is>
      </c>
      <c r="C6" t="inlineStr">
        <is>
          <t>22 weeks @ £18,500</t>
        </is>
      </c>
      <c r="D6" t="n">
        <v>22</v>
      </c>
      <c r="E6" s="6" t="n">
        <v>18500</v>
      </c>
      <c r="F6" s="6">
        <f>D6*E6</f>
        <v/>
      </c>
    </row>
    <row r="7">
      <c r="A7" t="inlineStr">
        <is>
          <t>A2</t>
        </is>
      </c>
      <c r="B7" t="inlineStr">
        <is>
          <t>Mobilisation / demobilisation of hired plant</t>
        </is>
      </c>
      <c r="C7" t="inlineStr">
        <is>
          <t>Lump sum</t>
        </is>
      </c>
      <c r="D7" t="n">
        <v>1</v>
      </c>
      <c r="E7" s="6" t="n">
        <v>14800</v>
      </c>
      <c r="F7" s="6" t="n">
        <v>14800</v>
      </c>
    </row>
    <row r="8">
      <c r="A8" t="inlineStr">
        <is>
          <t>A3</t>
        </is>
      </c>
      <c r="B8" t="inlineStr">
        <is>
          <t>Engineering rectification &amp; inspection (third-party fitters)</t>
        </is>
      </c>
      <c r="C8" t="inlineStr">
        <is>
          <t>Time &amp; materials</t>
        </is>
      </c>
      <c r="D8" t="n">
        <v>1</v>
      </c>
      <c r="E8" s="6" t="n">
        <v>46300</v>
      </c>
      <c r="F8" s="6" t="n">
        <v>46300</v>
      </c>
    </row>
    <row r="9">
      <c r="A9" t="inlineStr">
        <is>
          <t>A4</t>
        </is>
      </c>
      <c r="B9" t="inlineStr">
        <is>
          <t>Replacement toggle assembly and bearings (interim)</t>
        </is>
      </c>
      <c r="C9" t="inlineStr">
        <is>
          <t>Parts</t>
        </is>
      </c>
      <c r="D9" t="n">
        <v>1</v>
      </c>
      <c r="E9" s="6" t="n">
        <v>37200</v>
      </c>
      <c r="F9" s="6" t="n">
        <v>37200</v>
      </c>
    </row>
    <row r="10">
      <c r="A10" t="inlineStr">
        <is>
          <t>A5</t>
        </is>
      </c>
      <c r="B10" t="inlineStr">
        <is>
          <t>Additional fuel and consumables for hired plant</t>
        </is>
      </c>
      <c r="C10" t="inlineStr">
        <is>
          <t>Period</t>
        </is>
      </c>
      <c r="D10" t="n">
        <v>1</v>
      </c>
      <c r="E10" s="6" t="n">
        <v>106700</v>
      </c>
      <c r="F10" s="6" t="n">
        <v>106700</v>
      </c>
    </row>
    <row r="11">
      <c r="B11" s="7" t="inlineStr">
        <is>
          <t>Sub-total A — Remedial &amp; replacement</t>
        </is>
      </c>
      <c r="F11" s="8">
        <f>SUM(F6:F10)</f>
        <v/>
      </c>
    </row>
    <row r="12"/>
    <row r="13">
      <c r="A13" s="4" t="inlineStr">
        <is>
          <t>B</t>
        </is>
      </c>
      <c r="B13" s="4" t="inlineStr">
        <is>
          <t>LOSS OF PRODUCTION &amp; PROFIT</t>
        </is>
      </c>
      <c r="C13" s="5" t="n"/>
      <c r="D13" s="5" t="n"/>
      <c r="E13" s="5" t="n"/>
      <c r="F13" s="5" t="n"/>
    </row>
    <row r="14">
      <c r="A14" t="inlineStr">
        <is>
          <t>B1</t>
        </is>
      </c>
      <c r="B14" t="inlineStr">
        <is>
          <t>Lost output during 41 days of total downtime</t>
        </is>
      </c>
      <c r="C14" t="inlineStr">
        <is>
          <t>41 days @ 320 t/h x 8h x £4.10/t margin shortfall</t>
        </is>
      </c>
      <c r="D14" t="n">
        <v>41</v>
      </c>
      <c r="E14" s="6" t="n">
        <v>6560</v>
      </c>
      <c r="F14" s="6">
        <f>D14*E14</f>
        <v/>
      </c>
    </row>
    <row r="15">
      <c r="A15" t="inlineStr">
        <is>
          <t>B2</t>
        </is>
      </c>
      <c r="B15" t="inlineStr">
        <is>
          <t>Lost margin on throughput shortfall (210 vs 320 t/h)</t>
        </is>
      </c>
      <c r="C15" t="inlineStr">
        <is>
          <t>reduced-rate period, net margin</t>
        </is>
      </c>
      <c r="D15" t="n">
        <v>1</v>
      </c>
      <c r="E15" s="6" t="n">
        <v>311640</v>
      </c>
      <c r="F15" s="6" t="n">
        <v>311640</v>
      </c>
    </row>
    <row r="16">
      <c r="A16" t="inlineStr">
        <is>
          <t>B3</t>
        </is>
      </c>
      <c r="B16" t="inlineStr">
        <is>
          <t>Bought-in finished aggregate to honour supply contracts</t>
        </is>
      </c>
      <c r="C16" t="inlineStr">
        <is>
          <t>credit to highways contracts</t>
        </is>
      </c>
      <c r="D16" t="n">
        <v>1</v>
      </c>
      <c r="E16" s="6" t="n">
        <v>67900</v>
      </c>
      <c r="F16" s="6" t="n">
        <v>67900</v>
      </c>
    </row>
    <row r="17">
      <c r="B17" s="7" t="inlineStr">
        <is>
          <t>Sub-total B — Loss of production &amp; profit</t>
        </is>
      </c>
      <c r="F17" s="8">
        <f>SUM(F14:F16)</f>
        <v/>
      </c>
    </row>
    <row r="18"/>
    <row r="19">
      <c r="A19" s="4" t="inlineStr">
        <is>
          <t>C</t>
        </is>
      </c>
      <c r="B19" s="4" t="inlineStr">
        <is>
          <t>WASTED OVERHEADS &amp; ABORTIVE COSTS</t>
        </is>
      </c>
      <c r="C19" s="5" t="n"/>
      <c r="D19" s="5" t="n"/>
      <c r="E19" s="5" t="n"/>
      <c r="F19" s="5" t="n"/>
    </row>
    <row r="20">
      <c r="A20" t="inlineStr">
        <is>
          <t>C1</t>
        </is>
      </c>
      <c r="B20" t="inlineStr">
        <is>
          <t>Standby labour during breakdowns</t>
        </is>
      </c>
      <c r="C20" t="inlineStr">
        <is>
          <t>41 days @ £1,420/day</t>
        </is>
      </c>
      <c r="D20" t="n">
        <v>41</v>
      </c>
      <c r="E20" s="6" t="n">
        <v>1420</v>
      </c>
      <c r="F20" s="6">
        <f>D20*E20</f>
        <v/>
      </c>
    </row>
    <row r="21">
      <c r="A21" t="inlineStr">
        <is>
          <t>C2</t>
        </is>
      </c>
      <c r="B21" t="inlineStr">
        <is>
          <t>Abortive haulage and rescheduling</t>
        </is>
      </c>
      <c r="C21" t="inlineStr">
        <is>
          <t>Period</t>
        </is>
      </c>
      <c r="D21" t="n">
        <v>1</v>
      </c>
      <c r="E21" s="6" t="n">
        <v>27800</v>
      </c>
      <c r="F21" s="6" t="n">
        <v>27800</v>
      </c>
    </row>
    <row r="22">
      <c r="A22" t="inlineStr">
        <is>
          <t>C3</t>
        </is>
      </c>
      <c r="B22" t="inlineStr">
        <is>
          <t>Management time investigating failures</t>
        </is>
      </c>
      <c r="C22" t="inlineStr">
        <is>
          <t>Estimated</t>
        </is>
      </c>
      <c r="D22" t="n">
        <v>1</v>
      </c>
      <c r="E22" s="6" t="n">
        <v>18180</v>
      </c>
      <c r="F22" s="6" t="n">
        <v>18180</v>
      </c>
    </row>
    <row r="23">
      <c r="B23" s="7" t="inlineStr">
        <is>
          <t>Sub-total C — Wasted overheads</t>
        </is>
      </c>
      <c r="F23" s="8">
        <f>SUM(F20:F22)</f>
        <v/>
      </c>
    </row>
    <row r="24"/>
    <row r="25">
      <c r="A25" s="9" t="n"/>
      <c r="B25" s="10" t="inlineStr">
        <is>
          <t>TOTAL CLAIM (before interest)</t>
        </is>
      </c>
      <c r="C25" s="9" t="n"/>
      <c r="D25" s="9" t="n"/>
      <c r="E25" s="9" t="n"/>
      <c r="F25" s="11">
        <f>F11+F17+F23</f>
        <v/>
      </c>
    </row>
    <row r="26">
      <c r="B26" t="inlineStr">
        <is>
          <t>Interest to date of issue (s.35A SCA 1981, ~8% simple, est.)</t>
        </is>
      </c>
      <c r="F26" s="6">
        <f>ROUND(F25*0.041,0)</f>
        <v/>
      </c>
    </row>
    <row r="27">
      <c r="B27" s="12" t="inlineStr">
        <is>
          <t>TOTAL INCLUDING ESTIMATED INTEREST</t>
        </is>
      </c>
      <c r="F27" s="13">
        <f>F25+F26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2026-06-29T16:28:31Z</dcterms:created>
  <dcterms:modified xmlns:dcterms="http://purl.org/dc/terms/" xmlns:xsi="http://www.w3.org/2001/XMLSchema-instance" xsi:type="dcterms:W3CDTF">2026-06-29T16:28:31Z</dcterms:modified>
</cp:coreProperties>
</file>