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-Money" sheetId="1" state="visible" r:id="rId1"/>
    <sheet xmlns:r="http://schemas.openxmlformats.org/officeDocument/2006/relationships" name="Post-Mon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&quot;£&quot;#,##0"/>
    <numFmt numFmtId="166" formatCode="&quot;£&quot;#,##0.00"/>
  </numFmts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595959"/>
      <sz val="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164" fontId="4" fillId="3" borderId="1" pivotButton="0" quotePrefix="0" xfId="0"/>
    <xf numFmtId="0" fontId="4" fillId="0" borderId="0" pivotButton="0" quotePrefix="0" xfId="0"/>
    <xf numFmtId="165" fontId="0" fillId="0" borderId="0" pivotButton="0" quotePrefix="0" xfId="0"/>
    <xf numFmtId="165" fontId="0" fillId="0" borderId="1" pivotButton="0" quotePrefix="0" xfId="0"/>
    <xf numFmtId="165" fontId="4" fillId="3" borderId="1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6" customWidth="1" min="4" max="4"/>
  </cols>
  <sheetData>
    <row r="1">
      <c r="A1" s="1" t="inlineStr">
        <is>
          <t>Halcyon Photonics Limited — Capitalisation Table (Pre-Money, immediately before Series B)</t>
        </is>
      </c>
    </row>
    <row r="2">
      <c r="A2" s="2" t="inlineStr">
        <is>
          <t>Project Indigo · all share counts in units · prepared by Whitfield Carter LLP · 5 March 2025</t>
        </is>
      </c>
    </row>
    <row r="4">
      <c r="A4" s="3" t="inlineStr">
        <is>
          <t>Shareholder</t>
        </is>
      </c>
      <c r="B4" s="3" t="inlineStr">
        <is>
          <t>Class</t>
        </is>
      </c>
      <c r="C4" s="3" t="inlineStr">
        <is>
          <t>Shares</t>
        </is>
      </c>
      <c r="D4" s="3" t="inlineStr">
        <is>
          <t>% (fully diluted)</t>
        </is>
      </c>
    </row>
    <row r="5">
      <c r="A5" s="4" t="inlineStr">
        <is>
          <t>Dr Anita Roy (Founder)</t>
        </is>
      </c>
      <c r="B5" s="4" t="inlineStr">
        <is>
          <t>Ordinary</t>
        </is>
      </c>
      <c r="C5" s="5" t="n">
        <v>2400000</v>
      </c>
      <c r="D5" s="6">
        <f>C5/$C$12</f>
        <v/>
      </c>
    </row>
    <row r="6">
      <c r="A6" s="4" t="inlineStr">
        <is>
          <t>Dr Theo Eriksson (Founder)</t>
        </is>
      </c>
      <c r="B6" s="4" t="inlineStr">
        <is>
          <t>Ordinary</t>
        </is>
      </c>
      <c r="C6" s="5" t="n">
        <v>1600000</v>
      </c>
      <c r="D6" s="6">
        <f>C6/$C$12</f>
        <v/>
      </c>
    </row>
    <row r="7">
      <c r="A7" s="4" t="inlineStr">
        <is>
          <t>Aldridge Seed LP</t>
        </is>
      </c>
      <c r="B7" s="4" t="inlineStr">
        <is>
          <t>Series A Preferred</t>
        </is>
      </c>
      <c r="C7" s="5" t="n">
        <v>900000</v>
      </c>
      <c r="D7" s="6">
        <f>C7/$C$12</f>
        <v/>
      </c>
    </row>
    <row r="8">
      <c r="A8" s="4" t="inlineStr">
        <is>
          <t>Ravensworth Ventures LLP</t>
        </is>
      </c>
      <c r="B8" s="4" t="inlineStr">
        <is>
          <t>Series A Preferred</t>
        </is>
      </c>
      <c r="C8" s="5" t="n">
        <v>600000</v>
      </c>
      <c r="D8" s="6">
        <f>C8/$C$12</f>
        <v/>
      </c>
    </row>
    <row r="9">
      <c r="A9" s="4" t="inlineStr">
        <is>
          <t>Angel syndicate (Granta Angels)</t>
        </is>
      </c>
      <c r="B9" s="4" t="inlineStr">
        <is>
          <t>Ordinary</t>
        </is>
      </c>
      <c r="C9" s="5" t="n">
        <v>300000</v>
      </c>
      <c r="D9" s="6">
        <f>C9/$C$12</f>
        <v/>
      </c>
    </row>
    <row r="10">
      <c r="A10" s="4" t="inlineStr">
        <is>
          <t>EMI option holders (granted)</t>
        </is>
      </c>
      <c r="B10" s="4" t="inlineStr">
        <is>
          <t>Options (Ordinary)</t>
        </is>
      </c>
      <c r="C10" s="5" t="n">
        <v>510000</v>
      </c>
      <c r="D10" s="6">
        <f>C10/$C$12</f>
        <v/>
      </c>
    </row>
    <row r="11">
      <c r="A11" s="4" t="inlineStr">
        <is>
          <t>Unallocated option pool</t>
        </is>
      </c>
      <c r="B11" s="4" t="inlineStr">
        <is>
          <t>Options (reserved)</t>
        </is>
      </c>
      <c r="C11" s="5" t="n">
        <v>130000</v>
      </c>
      <c r="D11" s="6">
        <f>C11/$C$12</f>
        <v/>
      </c>
    </row>
    <row r="12">
      <c r="A12" s="7" t="inlineStr">
        <is>
          <t>Total (fully diluted)</t>
        </is>
      </c>
      <c r="B12" s="7" t="inlineStr"/>
      <c r="C12" s="8">
        <f>SUM(C5:C11)</f>
        <v/>
      </c>
      <c r="D12" s="9">
        <f>C12/$C$12</f>
        <v/>
      </c>
    </row>
    <row r="14">
      <c r="A14" s="10" t="inlineStr">
        <is>
          <t>Pre-money valuation</t>
        </is>
      </c>
      <c r="B14" t="inlineStr"/>
      <c r="C14" s="11" t="n">
        <v>42000000</v>
      </c>
      <c r="D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16" customWidth="1" min="4" max="4"/>
    <col width="16" customWidth="1" min="5" max="5"/>
  </cols>
  <sheetData>
    <row r="1">
      <c r="A1" s="1" t="inlineStr">
        <is>
          <t>Halcyon Photonics Limited — Capitalisation Table (Post-Money, immediately after Series B Completion)</t>
        </is>
      </c>
    </row>
    <row r="2">
      <c r="A2" s="2" t="inlineStr">
        <is>
          <t>Project Indigo · Series B issue price £12.00 · new money £18,000,000 · post-money £60,000,000</t>
        </is>
      </c>
    </row>
    <row r="4">
      <c r="A4" s="3" t="inlineStr">
        <is>
          <t>Shareholder</t>
        </is>
      </c>
      <c r="B4" s="3" t="inlineStr">
        <is>
          <t>Class</t>
        </is>
      </c>
      <c r="C4" s="3" t="inlineStr">
        <is>
          <t>Shares</t>
        </is>
      </c>
      <c r="D4" s="3" t="inlineStr">
        <is>
          <t>% (fully diluted)</t>
        </is>
      </c>
      <c r="E4" s="3" t="inlineStr">
        <is>
          <t>Invested (£)</t>
        </is>
      </c>
    </row>
    <row r="5">
      <c r="A5" s="4" t="inlineStr">
        <is>
          <t>Dr Anita Roy (Founder)</t>
        </is>
      </c>
      <c r="B5" s="4" t="inlineStr">
        <is>
          <t>Ordinary</t>
        </is>
      </c>
      <c r="C5" s="5" t="n">
        <v>2400000</v>
      </c>
      <c r="D5" s="6">
        <f>C5/$C$15</f>
        <v/>
      </c>
      <c r="E5" s="12" t="n"/>
    </row>
    <row r="6">
      <c r="A6" s="4" t="inlineStr">
        <is>
          <t>Dr Theo Eriksson (Founder)</t>
        </is>
      </c>
      <c r="B6" s="4" t="inlineStr">
        <is>
          <t>Ordinary</t>
        </is>
      </c>
      <c r="C6" s="5" t="n">
        <v>1600000</v>
      </c>
      <c r="D6" s="6">
        <f>C6/$C$15</f>
        <v/>
      </c>
      <c r="E6" s="12" t="n"/>
    </row>
    <row r="7">
      <c r="A7" s="4" t="inlineStr">
        <is>
          <t>Aldridge Seed LP</t>
        </is>
      </c>
      <c r="B7" s="4" t="inlineStr">
        <is>
          <t>Series A Preferred</t>
        </is>
      </c>
      <c r="C7" s="5" t="n">
        <v>900000</v>
      </c>
      <c r="D7" s="6">
        <f>C7/$C$15</f>
        <v/>
      </c>
      <c r="E7" s="12" t="n"/>
    </row>
    <row r="8">
      <c r="A8" s="4" t="inlineStr">
        <is>
          <t>Ravensworth Ventures LLP</t>
        </is>
      </c>
      <c r="B8" s="4" t="inlineStr">
        <is>
          <t>Series A Preferred</t>
        </is>
      </c>
      <c r="C8" s="5" t="n">
        <v>600000</v>
      </c>
      <c r="D8" s="6">
        <f>C8/$C$15</f>
        <v/>
      </c>
      <c r="E8" s="12" t="n"/>
    </row>
    <row r="9">
      <c r="A9" s="4" t="inlineStr">
        <is>
          <t>Angel syndicate (Granta Angels)</t>
        </is>
      </c>
      <c r="B9" s="4" t="inlineStr">
        <is>
          <t>Ordinary</t>
        </is>
      </c>
      <c r="C9" s="5" t="n">
        <v>300000</v>
      </c>
      <c r="D9" s="6">
        <f>C9/$C$15</f>
        <v/>
      </c>
      <c r="E9" s="12" t="n"/>
    </row>
    <row r="10">
      <c r="A10" s="4" t="inlineStr">
        <is>
          <t>Brindley Growth Partners LLP</t>
        </is>
      </c>
      <c r="B10" s="4" t="inlineStr">
        <is>
          <t>Series B Preferred</t>
        </is>
      </c>
      <c r="C10" s="5" t="n">
        <v>1166667</v>
      </c>
      <c r="D10" s="6">
        <f>C10/$C$15</f>
        <v/>
      </c>
      <c r="E10" s="12" t="n">
        <v>14000004</v>
      </c>
    </row>
    <row r="11">
      <c r="A11" s="4" t="inlineStr">
        <is>
          <t>Aldridge Seed LP (follow-on)</t>
        </is>
      </c>
      <c r="B11" s="4" t="inlineStr">
        <is>
          <t>Series B Preferred</t>
        </is>
      </c>
      <c r="C11" s="5" t="n">
        <v>250000</v>
      </c>
      <c r="D11" s="6">
        <f>C11/$C$15</f>
        <v/>
      </c>
      <c r="E11" s="12" t="n">
        <v>3000000</v>
      </c>
    </row>
    <row r="12">
      <c r="A12" s="4" t="inlineStr">
        <is>
          <t>Co-investors (Schedule 2A)</t>
        </is>
      </c>
      <c r="B12" s="4" t="inlineStr">
        <is>
          <t>Series B Preferred</t>
        </is>
      </c>
      <c r="C12" s="5" t="n">
        <v>83333</v>
      </c>
      <c r="D12" s="6">
        <f>C12/$C$15</f>
        <v/>
      </c>
      <c r="E12" s="12" t="n">
        <v>999996</v>
      </c>
    </row>
    <row r="13">
      <c r="A13" s="4" t="inlineStr">
        <is>
          <t>EMI option holders (granted)</t>
        </is>
      </c>
      <c r="B13" s="4" t="inlineStr">
        <is>
          <t>Options (Ordinary)</t>
        </is>
      </c>
      <c r="C13" s="5" t="n">
        <v>510000</v>
      </c>
      <c r="D13" s="6">
        <f>C13/$C$15</f>
        <v/>
      </c>
      <c r="E13" s="12" t="n"/>
    </row>
    <row r="14">
      <c r="A14" s="4" t="inlineStr">
        <is>
          <t>Enlarged option pool (reserved)</t>
        </is>
      </c>
      <c r="B14" s="4" t="inlineStr">
        <is>
          <t>Options (reserved)</t>
        </is>
      </c>
      <c r="C14" s="5" t="n">
        <v>690000</v>
      </c>
      <c r="D14" s="6">
        <f>C14/$C$15</f>
        <v/>
      </c>
      <c r="E14" s="12" t="n"/>
    </row>
    <row r="15">
      <c r="A15" s="7" t="inlineStr">
        <is>
          <t>Total (fully diluted)</t>
        </is>
      </c>
      <c r="B15" s="7" t="inlineStr"/>
      <c r="C15" s="8">
        <f>SUM(C5:C14)</f>
        <v/>
      </c>
      <c r="D15" s="9">
        <f>C15/$C$15</f>
        <v/>
      </c>
      <c r="E15" s="13">
        <f>SUM(E5:E14)</f>
        <v/>
      </c>
    </row>
    <row r="17">
      <c r="A17" s="10" t="inlineStr">
        <is>
          <t>Series B issue price (£/share)</t>
        </is>
      </c>
      <c r="B17" t="inlineStr"/>
      <c r="C17" s="14" t="n">
        <v>12</v>
      </c>
    </row>
    <row r="18">
      <c r="A18" s="10" t="inlineStr">
        <is>
          <t>New money raised (£)</t>
        </is>
      </c>
      <c r="B18" t="inlineStr"/>
      <c r="C18" s="11" t="n">
        <v>18000000</v>
      </c>
    </row>
    <row r="19">
      <c r="A19" s="10" t="inlineStr">
        <is>
          <t>Post-money valuation (£)</t>
        </is>
      </c>
      <c r="B19" t="inlineStr"/>
      <c r="C19" s="11" t="n">
        <v>60000000</v>
      </c>
    </row>
    <row r="20">
      <c r="A20" s="10" t="inlineStr">
        <is>
          <t>Brindley fully-diluted stake (%)</t>
        </is>
      </c>
      <c r="B20" t="inlineStr"/>
      <c r="C20" s="15">
        <f>C10/C15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2026-06-29T15:58:36Z</dcterms:created>
  <dcterms:modified xmlns:dcterms="http://purl.org/dc/terms/" xmlns:xsi="http://www.w3.org/2001/XMLSchema-instance" xsi:type="dcterms:W3CDTF">2026-06-29T15:58:36Z</dcterms:modified>
</cp:coreProperties>
</file>