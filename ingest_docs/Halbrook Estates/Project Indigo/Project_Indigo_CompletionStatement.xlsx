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<sst xmlns="http://schemas.openxmlformats.org/spreadsheetml/2006/main" count="36" uniqueCount="36">
  <si>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WHITFIELD CARTER LLP</t>
  </si>
  <si>
    <t xml:space="preserve">Project Indigo – Completion Statement</t>
  </si>
  <si>
    <t xml:space="preserve">Acquisition of Meridian Quarter, 18 Wellington Place, Leeds LS1 4DL (title WYK482176)</t>
  </si>
  <si>
    <t xml:space="preserve">Buyer: Halbrook Meridian Propco Limited   |   Seller: Tarncliffe Asset Holdings Limited</t>
  </si>
  <si>
    <t xml:space="preserve">Completion date: 12 February 2026</t>
  </si>
  <si>
    <t xml:space="preserve">Key figures</t>
  </si>
  <si>
    <t xml:space="preserve">Item</t>
  </si>
  <si>
    <t xml:space="preserve">Value</t>
  </si>
  <si>
    <t xml:space="preserve">Purchase price (agreed, ex-VAT)</t>
  </si>
  <si>
    <t xml:space="preserve">Deposit paid on exchange (18 Dec 2025, 10%)</t>
  </si>
  <si>
    <t xml:space="preserve">Unit 6 rent deposit transferred to Buyer</t>
  </si>
  <si>
    <t xml:space="preserve">Rent quarter days (25 Dec 2025 – 24 Mar 2026)</t>
  </si>
  <si>
    <t xml:space="preserve">Days Buyer owns in quarter (12 Feb – 24 Mar 2026, incl.)</t>
  </si>
  <si>
    <t xml:space="preserve">Quarterly rent collected by Seller in advance</t>
  </si>
  <si>
    <t xml:space="preserve">Apportionment of rents paid in advance (quarter commencing 25 Dec 2025)</t>
  </si>
  <si>
    <t xml:space="preserve">Unit / Tenant</t>
  </si>
  <si>
    <t xml:space="preserve">Annual rent</t>
  </si>
  <si>
    <t xml:space="preserve">Quarter (1/4)</t>
  </si>
  <si>
    <t xml:space="preserve">Buyer share (41/90 days)</t>
  </si>
  <si>
    <t xml:space="preserve">Units G &amp; 1 – Aldwyn Financial Services Ltd</t>
  </si>
  <si>
    <t xml:space="preserve">Unit 2 – Marrowbone Design Studio LLP</t>
  </si>
  <si>
    <t xml:space="preserve">Unit 3 – Penrose &amp; Vale Solicitors</t>
  </si>
  <si>
    <t xml:space="preserve">Unit 4 – Caldermoor Recruitment Ltd</t>
  </si>
  <si>
    <t xml:space="preserve">Unit 5 – Hartcliffe Media Ltd</t>
  </si>
  <si>
    <t xml:space="preserve">Unit 6 – The Wellington Coffee Co Ltd</t>
  </si>
  <si>
    <t xml:space="preserve">Total</t>
  </si>
  <si>
    <t xml:space="preserve">Completion monies</t>
  </si>
  <si>
    <t xml:space="preserve">Description</t>
  </si>
  <si>
    <t xml:space="preserve">Due to Seller</t>
  </si>
  <si>
    <t xml:space="preserve">Allowed to Buyer</t>
  </si>
  <si>
    <t xml:space="preserve">Purchase price</t>
  </si>
  <si>
    <t xml:space="preserve">Add: apportionment of rent paid in advance (Buyer credits Seller)</t>
  </si>
  <si>
    <t xml:space="preserve">Less: deposit paid on exchange</t>
  </si>
  <si>
    <t xml:space="preserve">Less: Unit 6 rent deposit transferred to Buyer</t>
  </si>
  <si>
    <t xml:space="preserve">BALANCE DUE FROM BUYER ON COMPLETION</t>
  </si>
  <si>
    <t xml:space="preserve">Prepared by Whitfield Carter LLP. VAT: sale treated as a TOGC; no VAT payable on completion. SDLT of £702,000 is payable separately by the Buyer.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</si>
</sst>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"/>
    <numFmt numFmtId="166" formatCode="0"/>
    <numFmt numFmtId="167" formatCode="\£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16"/>
    <col collapsed="false" customWidth="true" hidden="false" outlineLevel="0" max="5" min="5" style="0" width="3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5" t="s">
        <v>6</v>
      </c>
      <c r="C9" s="5" t="s">
        <v>7</v>
      </c>
    </row>
    <row r="10" customFormat="false" ht="15" hidden="false" customHeight="false" outlineLevel="0" collapsed="false">
      <c r="B10" s="6" t="s">
        <v>8</v>
      </c>
      <c r="C10" s="7" t="n">
        <v>14250000</v>
      </c>
    </row>
    <row r="11" customFormat="false" ht="15" hidden="false" customHeight="false" outlineLevel="0" collapsed="false">
      <c r="B11" s="6" t="s">
        <v>9</v>
      </c>
      <c r="C11" s="7" t="n">
        <v>1425000</v>
      </c>
    </row>
    <row r="12" customFormat="false" ht="15" hidden="false" customHeight="false" outlineLevel="0" collapsed="false">
      <c r="B12" s="6" t="s">
        <v>10</v>
      </c>
      <c r="C12" s="7" t="n">
        <v>28500</v>
      </c>
    </row>
    <row r="13" customFormat="false" ht="15" hidden="false" customHeight="false" outlineLevel="0" collapsed="false">
      <c r="B13" s="6" t="s">
        <v>11</v>
      </c>
      <c r="C13" s="8" t="n">
        <v>90</v>
      </c>
    </row>
    <row r="14" customFormat="false" ht="15" hidden="false" customHeight="false" outlineLevel="0" collapsed="false">
      <c r="B14" s="6" t="s">
        <v>12</v>
      </c>
      <c r="C14" s="8" t="n">
        <v>41</v>
      </c>
    </row>
    <row r="15" customFormat="false" ht="15" hidden="false" customHeight="false" outlineLevel="0" collapsed="false">
      <c r="B15" s="6" t="s">
        <v>13</v>
      </c>
      <c r="C15" s="9" t="n">
        <f aca="false">C25/4</f>
        <v>266250</v>
      </c>
    </row>
    <row r="17" customFormat="false" ht="15" hidden="false" customHeight="false" outlineLevel="0" collapsed="false">
      <c r="B17" s="4" t="s">
        <v>14</v>
      </c>
    </row>
    <row r="18" customFormat="false" ht="15" hidden="false" customHeight="false" outlineLevel="0" collapsed="false">
      <c r="B18" s="5" t="s">
        <v>15</v>
      </c>
      <c r="C18" s="5" t="s">
        <v>16</v>
      </c>
      <c r="D18" s="5" t="s">
        <v>17</v>
      </c>
      <c r="E18" s="5" t="s">
        <v>18</v>
      </c>
    </row>
    <row r="19" customFormat="false" ht="15" hidden="false" customHeight="false" outlineLevel="0" collapsed="false">
      <c r="B19" s="6" t="s">
        <v>19</v>
      </c>
      <c r="C19" s="7" t="n">
        <v>312000</v>
      </c>
      <c r="D19" s="9" t="n">
        <f aca="false">C19/4</f>
        <v>78000</v>
      </c>
      <c r="E19" s="9" t="n">
        <f aca="false">D19*$C$14/$C$13</f>
        <v>35533.3333333333</v>
      </c>
    </row>
    <row r="20" customFormat="false" ht="15" hidden="false" customHeight="false" outlineLevel="0" collapsed="false">
      <c r="B20" s="6" t="s">
        <v>20</v>
      </c>
      <c r="C20" s="7" t="n">
        <v>196500</v>
      </c>
      <c r="D20" s="9" t="n">
        <f aca="false">C20/4</f>
        <v>49125</v>
      </c>
      <c r="E20" s="9" t="n">
        <f aca="false">D20*$C$14/$C$13</f>
        <v>22379.1666666667</v>
      </c>
    </row>
    <row r="21" customFormat="false" ht="15" hidden="false" customHeight="false" outlineLevel="0" collapsed="false">
      <c r="B21" s="6" t="s">
        <v>21</v>
      </c>
      <c r="C21" s="7" t="n">
        <v>228000</v>
      </c>
      <c r="D21" s="9" t="n">
        <f aca="false">C21/4</f>
        <v>57000</v>
      </c>
      <c r="E21" s="9" t="n">
        <f aca="false">D21*$C$14/$C$13</f>
        <v>25966.6666666667</v>
      </c>
    </row>
    <row r="22" customFormat="false" ht="15" hidden="false" customHeight="false" outlineLevel="0" collapsed="false">
      <c r="B22" s="6" t="s">
        <v>22</v>
      </c>
      <c r="C22" s="7" t="n">
        <v>141000</v>
      </c>
      <c r="D22" s="9" t="n">
        <f aca="false">C22/4</f>
        <v>35250</v>
      </c>
      <c r="E22" s="9" t="n">
        <f aca="false">D22*$C$14/$C$13</f>
        <v>16058.3333333333</v>
      </c>
    </row>
    <row r="23" customFormat="false" ht="15" hidden="false" customHeight="false" outlineLevel="0" collapsed="false">
      <c r="B23" s="6" t="s">
        <v>23</v>
      </c>
      <c r="C23" s="7" t="n">
        <v>118500</v>
      </c>
      <c r="D23" s="9" t="n">
        <f aca="false">C23/4</f>
        <v>29625</v>
      </c>
      <c r="E23" s="9" t="n">
        <f aca="false">D23*$C$14/$C$13</f>
        <v>13495.8333333333</v>
      </c>
    </row>
    <row r="24" customFormat="false" ht="15" hidden="false" customHeight="false" outlineLevel="0" collapsed="false">
      <c r="B24" s="6" t="s">
        <v>24</v>
      </c>
      <c r="C24" s="7" t="n">
        <v>69000</v>
      </c>
      <c r="D24" s="9" t="n">
        <f aca="false">C24/4</f>
        <v>17250</v>
      </c>
      <c r="E24" s="9" t="n">
        <f aca="false">D24*$C$14/$C$13</f>
        <v>7858.33333333333</v>
      </c>
    </row>
    <row r="25" customFormat="false" ht="15" hidden="false" customHeight="false" outlineLevel="0" collapsed="false">
      <c r="B25" s="10" t="s">
        <v>25</v>
      </c>
      <c r="C25" s="11" t="n">
        <f aca="false">SUM(C19:C24)</f>
        <v>1065000</v>
      </c>
      <c r="D25" s="12" t="n">
        <f aca="false">SUM(D19:D24)</f>
        <v>266250</v>
      </c>
      <c r="E25" s="12" t="n">
        <f aca="false">SUM(E19:E24)</f>
        <v>121291.666666667</v>
      </c>
    </row>
    <row r="27" customFormat="false" ht="15" hidden="false" customHeight="false" outlineLevel="0" collapsed="false">
      <c r="B27" s="4" t="s">
        <v>26</v>
      </c>
    </row>
    <row r="28" customFormat="false" ht="26.85" hidden="false" customHeight="false" outlineLevel="0" collapsed="false">
      <c r="B28" s="5" t="s">
        <v>27</v>
      </c>
      <c r="C28" s="5" t="s">
        <v>28</v>
      </c>
      <c r="D28" s="5" t="s">
        <v>29</v>
      </c>
    </row>
    <row r="29" customFormat="false" ht="15" hidden="false" customHeight="false" outlineLevel="0" collapsed="false">
      <c r="B29" s="6" t="s">
        <v>30</v>
      </c>
      <c r="C29" s="9" t="n">
        <f aca="false">C10</f>
        <v>14250000</v>
      </c>
      <c r="D29" s="9"/>
    </row>
    <row r="30" customFormat="false" ht="15" hidden="false" customHeight="false" outlineLevel="0" collapsed="false">
      <c r="B30" s="6" t="s">
        <v>31</v>
      </c>
      <c r="C30" s="9" t="n">
        <f aca="false">E25</f>
        <v>121291.666666667</v>
      </c>
      <c r="D30" s="9"/>
    </row>
    <row r="31" customFormat="false" ht="15" hidden="false" customHeight="false" outlineLevel="0" collapsed="false">
      <c r="B31" s="6" t="s">
        <v>32</v>
      </c>
      <c r="C31" s="9"/>
      <c r="D31" s="9" t="n">
        <f aca="false">C11</f>
        <v>1425000</v>
      </c>
    </row>
    <row r="32" customFormat="false" ht="15" hidden="false" customHeight="false" outlineLevel="0" collapsed="false">
      <c r="B32" s="6" t="s">
        <v>33</v>
      </c>
      <c r="C32" s="9"/>
      <c r="D32" s="9" t="n">
        <f aca="false">C12</f>
        <v>28500</v>
      </c>
    </row>
    <row r="33" customFormat="false" ht="15" hidden="false" customHeight="false" outlineLevel="0" collapsed="false">
      <c r="B33" s="10" t="s">
        <v>34</v>
      </c>
      <c r="C33" s="12" t="n">
        <f aca="false">SUM(C29:C32)-SUM(D29:D32)</f>
        <v>12917791.6666667</v>
      </c>
      <c r="D33" s="13"/>
    </row>
    <row r="35" customFormat="false" ht="15" hidden="false" customHeight="false" outlineLevel="0" collapsed="false">
      <c r="B35" s="1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2026-06-30T11:13:12Z</dcterms:created>
  <dc:creator>openpyxl</dc:creator>
  <dc:description/>
  <dc:language>en-US</dc:language>
  <cp:lastModifiedBy/>
  <dcterms:modified xsi:type="dcterms:W3CDTF">2026-06-30T11:13:12Z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