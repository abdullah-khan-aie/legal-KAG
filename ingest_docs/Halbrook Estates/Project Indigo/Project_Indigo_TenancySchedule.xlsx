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ancy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<sst xmlns="http://schemas.openxmlformats.org/spreadsheetml/2006/main" count="58" uniqueCount="52">
  <si>
    <t xml:space="preserve">Project Indigo – Tenancy Schedule &amp; Acquisition Yield</t>
  </si>
  <si>
    <t xml:space="preserve">Meridian Quarter, 18 Wellington Place, Leeds LS1 4DL</t>
  </si>
  <si>
    <t xml:space="preserve">Prepared by Whitfield Carter LLP for Halbrook Estates / Calderbank Vine (surveyor). As at 28 November 2025.</t>
  </si>
  <si>
    <t xml:space="preserve">Unit / Tenant</t>
  </si>
  <si>
    <t xml:space="preserve">Use</t>
  </si>
  <si>
    <t xml:space="preserve">Lease start</t>
  </si>
  <si>
    <t xml:space="preserve">Lease expiry</t>
  </si>
  <si>
    <t xml:space="preserve">Area (sq ft)</t>
  </si>
  <si>
    <t xml:space="preserve">Rent p.a.</t>
  </si>
  <si>
    <t xml:space="preserve">Rent (£/sq ft)</t>
  </si>
  <si>
    <t xml:space="preserve">Break date</t>
  </si>
  <si>
    <t xml:space="preserve">Notes</t>
  </si>
  <si>
    <t xml:space="preserve">Units G &amp; 1 – Aldwyn Financial Services Ltd</t>
  </si>
  <si>
    <t xml:space="preserve">Office</t>
  </si>
  <si>
    <t xml:space="preserve">24/06/2021</t>
  </si>
  <si>
    <t xml:space="preserve">23/06/2031</t>
  </si>
  <si>
    <t xml:space="preserve">25/06/2026 (review)</t>
  </si>
  <si>
    <t xml:space="preserve">Upward-only RR 2026</t>
  </si>
  <si>
    <t xml:space="preserve">Unit 2 – Marrowbone Design Studio LLP</t>
  </si>
  <si>
    <t xml:space="preserve">25/12/2020</t>
  </si>
  <si>
    <t xml:space="preserve">24/12/2030</t>
  </si>
  <si>
    <t xml:space="preserve">–</t>
  </si>
  <si>
    <t xml:space="preserve">No breaks</t>
  </si>
  <si>
    <t xml:space="preserve">Unit 3 – Penrose &amp; Vale Solicitors</t>
  </si>
  <si>
    <t xml:space="preserve">29/09/2019</t>
  </si>
  <si>
    <t xml:space="preserve">28/09/2034</t>
  </si>
  <si>
    <t xml:space="preserve">29/09/2026 (review)</t>
  </si>
  <si>
    <t xml:space="preserve">RR outstanding</t>
  </si>
  <si>
    <t xml:space="preserve">Unit 4 – Caldermoor Recruitment Ltd</t>
  </si>
  <si>
    <t xml:space="preserve">01/04/2023</t>
  </si>
  <si>
    <t xml:space="preserve">31/03/2028</t>
  </si>
  <si>
    <t xml:space="preserve">Cat-A refit 2023</t>
  </si>
  <si>
    <t xml:space="preserve">Unit 5 – Hartcliffe Media Ltd</t>
  </si>
  <si>
    <t xml:space="preserve">25/03/2022</t>
  </si>
  <si>
    <t xml:space="preserve">24/03/2030</t>
  </si>
  <si>
    <t xml:space="preserve">25/03/2027 (T)</t>
  </si>
  <si>
    <t xml:space="preserve">Tenant break</t>
  </si>
  <si>
    <t xml:space="preserve">Unit 6 – The Wellington Coffee Co Ltd</t>
  </si>
  <si>
    <t xml:space="preserve">Retail</t>
  </si>
  <si>
    <t xml:space="preserve">01/07/2022</t>
  </si>
  <si>
    <t xml:space="preserve">30/06/2032</t>
  </si>
  <si>
    <t xml:space="preserve">Deposit £28,500</t>
  </si>
  <si>
    <t xml:space="preserve">TOTAL / WEIGHTED</t>
  </si>
  <si>
    <t xml:space="preserve">Acquisition metrics</t>
  </si>
  <si>
    <t xml:space="preserve">Metric</t>
  </si>
  <si>
    <t xml:space="preserve">Value</t>
  </si>
  <si>
    <t xml:space="preserve">Purchase price (agreed)</t>
  </si>
  <si>
    <t xml:space="preserve">Total passing rent p.a.</t>
  </si>
  <si>
    <t xml:space="preserve">Purchaser's costs (SDLT £702,000 + legal/survey/dues)</t>
  </si>
  <si>
    <t xml:space="preserve">Gross initial yield (rent / price)</t>
  </si>
  <si>
    <t xml:space="preserve">Net initial yield (rent / (price + costs))</t>
  </si>
  <si>
    <t xml:space="preserve">Capital value (£/sq ft)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</si>
</sst>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£#,##0"/>
    <numFmt numFmtId="167" formatCode="\£#,##0.00"/>
    <numFmt numFmtId="168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FEF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2" customFormat="false" ht="16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26.85" hidden="false" customHeight="false" outlineLevel="0" collapsed="false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</row>
    <row r="7" customFormat="false" ht="15" hidden="false" customHeight="false" outlineLevel="0" collapsed="false">
      <c r="B7" s="4" t="s">
        <v>12</v>
      </c>
      <c r="C7" s="5" t="s">
        <v>13</v>
      </c>
      <c r="D7" s="5" t="s">
        <v>14</v>
      </c>
      <c r="E7" s="5" t="s">
        <v>15</v>
      </c>
      <c r="F7" s="6" t="n">
        <v>11200</v>
      </c>
      <c r="G7" s="7" t="n">
        <v>312000</v>
      </c>
      <c r="H7" s="8" t="n">
        <f aca="false">G7/F7</f>
        <v>27.8571428571429</v>
      </c>
      <c r="I7" s="5" t="s">
        <v>16</v>
      </c>
      <c r="J7" s="4" t="s">
        <v>17</v>
      </c>
    </row>
    <row r="8" customFormat="false" ht="15" hidden="false" customHeight="false" outlineLevel="0" collapsed="false">
      <c r="B8" s="4" t="s">
        <v>18</v>
      </c>
      <c r="C8" s="5" t="s">
        <v>13</v>
      </c>
      <c r="D8" s="5" t="s">
        <v>19</v>
      </c>
      <c r="E8" s="5" t="s">
        <v>20</v>
      </c>
      <c r="F8" s="6" t="n">
        <v>7100</v>
      </c>
      <c r="G8" s="7" t="n">
        <v>196500</v>
      </c>
      <c r="H8" s="8" t="n">
        <f aca="false">G8/F8</f>
        <v>27.6760563380282</v>
      </c>
      <c r="I8" s="5" t="s">
        <v>21</v>
      </c>
      <c r="J8" s="4" t="s">
        <v>22</v>
      </c>
    </row>
    <row r="9" customFormat="false" ht="15" hidden="false" customHeight="false" outlineLevel="0" collapsed="false">
      <c r="B9" s="4" t="s">
        <v>23</v>
      </c>
      <c r="C9" s="5" t="s">
        <v>13</v>
      </c>
      <c r="D9" s="5" t="s">
        <v>24</v>
      </c>
      <c r="E9" s="5" t="s">
        <v>25</v>
      </c>
      <c r="F9" s="6" t="n">
        <v>8250</v>
      </c>
      <c r="G9" s="7" t="n">
        <v>228000</v>
      </c>
      <c r="H9" s="8" t="n">
        <f aca="false">G9/F9</f>
        <v>27.6363636363636</v>
      </c>
      <c r="I9" s="5" t="s">
        <v>26</v>
      </c>
      <c r="J9" s="4" t="s">
        <v>27</v>
      </c>
    </row>
    <row r="10" customFormat="false" ht="15" hidden="false" customHeight="false" outlineLevel="0" collapsed="false">
      <c r="B10" s="4" t="s">
        <v>28</v>
      </c>
      <c r="C10" s="5" t="s">
        <v>13</v>
      </c>
      <c r="D10" s="5" t="s">
        <v>29</v>
      </c>
      <c r="E10" s="5" t="s">
        <v>30</v>
      </c>
      <c r="F10" s="6" t="n">
        <v>5100</v>
      </c>
      <c r="G10" s="7" t="n">
        <v>141000</v>
      </c>
      <c r="H10" s="8" t="n">
        <f aca="false">G10/F10</f>
        <v>27.6470588235294</v>
      </c>
      <c r="I10" s="5" t="s">
        <v>21</v>
      </c>
      <c r="J10" s="4" t="s">
        <v>31</v>
      </c>
    </row>
    <row r="11" customFormat="false" ht="15" hidden="false" customHeight="false" outlineLevel="0" collapsed="false">
      <c r="B11" s="4" t="s">
        <v>32</v>
      </c>
      <c r="C11" s="5" t="s">
        <v>13</v>
      </c>
      <c r="D11" s="5" t="s">
        <v>33</v>
      </c>
      <c r="E11" s="5" t="s">
        <v>34</v>
      </c>
      <c r="F11" s="6" t="n">
        <v>4300</v>
      </c>
      <c r="G11" s="7" t="n">
        <v>118500</v>
      </c>
      <c r="H11" s="8" t="n">
        <f aca="false">G11/F11</f>
        <v>27.5581395348837</v>
      </c>
      <c r="I11" s="5" t="s">
        <v>35</v>
      </c>
      <c r="J11" s="4" t="s">
        <v>36</v>
      </c>
    </row>
    <row r="12" customFormat="false" ht="15" hidden="false" customHeight="false" outlineLevel="0" collapsed="false">
      <c r="B12" s="4" t="s">
        <v>37</v>
      </c>
      <c r="C12" s="5" t="s">
        <v>38</v>
      </c>
      <c r="D12" s="5" t="s">
        <v>39</v>
      </c>
      <c r="E12" s="5" t="s">
        <v>40</v>
      </c>
      <c r="F12" s="6" t="n">
        <v>1300</v>
      </c>
      <c r="G12" s="7" t="n">
        <v>69000</v>
      </c>
      <c r="H12" s="8" t="n">
        <f aca="false">G12/F12</f>
        <v>53.0769230769231</v>
      </c>
      <c r="I12" s="5" t="s">
        <v>21</v>
      </c>
      <c r="J12" s="4" t="s">
        <v>41</v>
      </c>
    </row>
    <row r="13" customFormat="false" ht="15" hidden="false" customHeight="false" outlineLevel="0" collapsed="false">
      <c r="B13" s="9" t="s">
        <v>42</v>
      </c>
      <c r="C13" s="10"/>
      <c r="D13" s="10"/>
      <c r="E13" s="10"/>
      <c r="F13" s="11" t="n">
        <f aca="false">SUM(F7:F12)</f>
        <v>37250</v>
      </c>
      <c r="G13" s="12" t="n">
        <f aca="false">SUM(G7:G12)</f>
        <v>1065000</v>
      </c>
      <c r="H13" s="13" t="n">
        <f aca="false">G13/F13</f>
        <v>28.5906040268456</v>
      </c>
      <c r="I13" s="10"/>
      <c r="J13" s="10"/>
    </row>
    <row r="15" customFormat="false" ht="15" hidden="false" customHeight="false" outlineLevel="0" collapsed="false">
      <c r="B15" s="14" t="s">
        <v>43</v>
      </c>
    </row>
    <row r="16" customFormat="false" ht="15" hidden="false" customHeight="false" outlineLevel="0" collapsed="false">
      <c r="B16" s="3" t="s">
        <v>44</v>
      </c>
      <c r="C16" s="3" t="s">
        <v>45</v>
      </c>
    </row>
    <row r="17" customFormat="false" ht="15" hidden="false" customHeight="false" outlineLevel="0" collapsed="false">
      <c r="B17" s="4" t="s">
        <v>46</v>
      </c>
      <c r="C17" s="7" t="n">
        <v>14250000</v>
      </c>
    </row>
    <row r="18" customFormat="false" ht="15" hidden="false" customHeight="false" outlineLevel="0" collapsed="false">
      <c r="B18" s="4" t="s">
        <v>47</v>
      </c>
      <c r="C18" s="15" t="n">
        <f aca="false">G13</f>
        <v>1065000</v>
      </c>
    </row>
    <row r="19" customFormat="false" ht="15" hidden="false" customHeight="false" outlineLevel="0" collapsed="false">
      <c r="B19" s="4" t="s">
        <v>48</v>
      </c>
      <c r="C19" s="7" t="n">
        <v>975000</v>
      </c>
    </row>
    <row r="20" customFormat="false" ht="15" hidden="false" customHeight="false" outlineLevel="0" collapsed="false">
      <c r="B20" s="4" t="s">
        <v>49</v>
      </c>
      <c r="C20" s="16" t="n">
        <f aca="false">C18/C17</f>
        <v>0.0747368421052632</v>
      </c>
    </row>
    <row r="21" customFormat="false" ht="15" hidden="false" customHeight="false" outlineLevel="0" collapsed="false">
      <c r="B21" s="4" t="s">
        <v>50</v>
      </c>
      <c r="C21" s="17" t="n">
        <f aca="false">C18/(C17+C19)</f>
        <v>0.0699507389162562</v>
      </c>
    </row>
    <row r="22" customFormat="false" ht="15" hidden="false" customHeight="false" outlineLevel="0" collapsed="false">
      <c r="B22" s="4" t="s">
        <v>51</v>
      </c>
      <c r="C22" s="18" t="n">
        <f aca="false">C17/F13</f>
        <v>382.55033557047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2026-06-30T11:13:12Z</dcterms:created>
  <dc:creator>openpyxl</dc:creator>
  <dc:description/>
  <dc:language>en-US</dc:language>
  <cp:lastModifiedBy/>
  <dcterms:modified xsi:type="dcterms:W3CDTF">2026-06-30T11:13:12Z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