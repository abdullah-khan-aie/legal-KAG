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censed Pat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<sst xmlns="http://schemas.openxmlformats.org/spreadsheetml/2006/main" count="68" uniqueCount="49">
  <si>
    <t xml:space="preserve">Project Umbra — Schedule of Licensed Patents (AtlasMRV Patent Family)</t>
  </si>
  <si>
    <t xml:space="preserve">Schedule 5 to the Patent and Software Licence Agreement (Caspian / Hollencroft)</t>
  </si>
  <si>
    <t xml:space="preserve">Family</t>
  </si>
  <si>
    <t xml:space="preserve">Publication / App No.</t>
  </si>
  <si>
    <t xml:space="preserve">Jurisdiction</t>
  </si>
  <si>
    <t xml:space="preserve">Title</t>
  </si>
  <si>
    <t xml:space="preserve">Priority date</t>
  </si>
  <si>
    <t xml:space="preserve">Status</t>
  </si>
  <si>
    <t xml:space="preserve">Grant / next renewal</t>
  </si>
  <si>
    <t xml:space="preserve">Proprietor</t>
  </si>
  <si>
    <t xml:space="preserve">Notes</t>
  </si>
  <si>
    <t xml:space="preserve">AtlasMRV-1</t>
  </si>
  <si>
    <t xml:space="preserve">GB2598471</t>
  </si>
  <si>
    <t xml:space="preserve">GB</t>
  </si>
  <si>
    <t xml:space="preserve">Method for satellite-derived estimation of facility-level GHG emissions</t>
  </si>
  <si>
    <t xml:space="preserve">2021-03-04</t>
  </si>
  <si>
    <t xml:space="preserve">Granted</t>
  </si>
  <si>
    <t xml:space="preserve">2026-03-04</t>
  </si>
  <si>
    <t xml:space="preserve">Caspian Technologies Limited</t>
  </si>
  <si>
    <t xml:space="preserve">Core satellite estimation patent</t>
  </si>
  <si>
    <t xml:space="preserve">EP3987654</t>
  </si>
  <si>
    <t xml:space="preserve">EP (GB,DE,FR,NL)</t>
  </si>
  <si>
    <t xml:space="preserve">European equivalent of GB2598471</t>
  </si>
  <si>
    <t xml:space="preserve">Granted/validated</t>
  </si>
  <si>
    <t xml:space="preserve">Validated in four states</t>
  </si>
  <si>
    <t xml:space="preserve">US11,887,123</t>
  </si>
  <si>
    <t xml:space="preserve">US</t>
  </si>
  <si>
    <t xml:space="preserve">US equivalent of GB2598471</t>
  </si>
  <si>
    <t xml:space="preserve">2027-07-30</t>
  </si>
  <si>
    <t xml:space="preserve">Granted 30 Jan 2024</t>
  </si>
  <si>
    <t xml:space="preserve">AtlasMRV-2</t>
  </si>
  <si>
    <t xml:space="preserve">GB2611902</t>
  </si>
  <si>
    <t xml:space="preserve">Sensor-fusion calibration for emissions inference</t>
  </si>
  <si>
    <t xml:space="preserve">2022-08-18</t>
  </si>
  <si>
    <t xml:space="preserve">2026-08-18</t>
  </si>
  <si>
    <t xml:space="preserve">Co-inventor assignment from Dr A. Mehl recorded</t>
  </si>
  <si>
    <t xml:space="preserve">EP4123456</t>
  </si>
  <si>
    <t xml:space="preserve">EP</t>
  </si>
  <si>
    <t xml:space="preserve">European equivalent of GB2611902</t>
  </si>
  <si>
    <t xml:space="preserve">Pending (examination)</t>
  </si>
  <si>
    <t xml:space="preserve">n/a</t>
  </si>
  <si>
    <t xml:space="preserve">Awaiting examination</t>
  </si>
  <si>
    <t xml:space="preserve">US 18/345,221</t>
  </si>
  <si>
    <t xml:space="preserve">US equivalent of GB2611902</t>
  </si>
  <si>
    <t xml:space="preserve">Pending</t>
  </si>
  <si>
    <t xml:space="preserve">First office action awaited</t>
  </si>
  <si>
    <t xml:space="preserve">Granted members</t>
  </si>
  <si>
    <t xml:space="preserve">Pending members</t>
  </si>
  <si>
    <t xml:space="preserve">Total family members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</si>
</sst>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6.8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26.85" hidden="false" customHeight="false" outlineLevel="0" collapsed="false">
      <c r="A6" s="4" t="s">
        <v>11</v>
      </c>
      <c r="B6" s="4" t="s">
        <v>20</v>
      </c>
      <c r="C6" s="4" t="s">
        <v>21</v>
      </c>
      <c r="D6" s="4" t="s">
        <v>22</v>
      </c>
      <c r="E6" s="4" t="s">
        <v>15</v>
      </c>
      <c r="F6" s="4" t="s">
        <v>23</v>
      </c>
      <c r="G6" s="4" t="s">
        <v>17</v>
      </c>
      <c r="H6" s="4" t="s">
        <v>18</v>
      </c>
      <c r="I6" s="4" t="s">
        <v>24</v>
      </c>
    </row>
    <row r="7" customFormat="false" ht="26.85" hidden="false" customHeight="false" outlineLevel="0" collapsed="false">
      <c r="A7" s="4" t="s">
        <v>11</v>
      </c>
      <c r="B7" s="4" t="s">
        <v>25</v>
      </c>
      <c r="C7" s="4" t="s">
        <v>26</v>
      </c>
      <c r="D7" s="4" t="s">
        <v>27</v>
      </c>
      <c r="E7" s="4" t="s">
        <v>15</v>
      </c>
      <c r="F7" s="4" t="s">
        <v>16</v>
      </c>
      <c r="G7" s="4" t="s">
        <v>28</v>
      </c>
      <c r="H7" s="4" t="s">
        <v>18</v>
      </c>
      <c r="I7" s="4" t="s">
        <v>29</v>
      </c>
    </row>
    <row r="8" customFormat="false" ht="26.85" hidden="false" customHeight="false" outlineLevel="0" collapsed="false">
      <c r="A8" s="4" t="s">
        <v>30</v>
      </c>
      <c r="B8" s="4" t="s">
        <v>31</v>
      </c>
      <c r="C8" s="4" t="s">
        <v>13</v>
      </c>
      <c r="D8" s="4" t="s">
        <v>32</v>
      </c>
      <c r="E8" s="4" t="s">
        <v>33</v>
      </c>
      <c r="F8" s="4" t="s">
        <v>16</v>
      </c>
      <c r="G8" s="4" t="s">
        <v>34</v>
      </c>
      <c r="H8" s="4" t="s">
        <v>18</v>
      </c>
      <c r="I8" s="4" t="s">
        <v>35</v>
      </c>
    </row>
    <row r="9" customFormat="false" ht="26.85" hidden="false" customHeight="false" outlineLevel="0" collapsed="false">
      <c r="A9" s="4" t="s">
        <v>30</v>
      </c>
      <c r="B9" s="4" t="s">
        <v>36</v>
      </c>
      <c r="C9" s="4" t="s">
        <v>37</v>
      </c>
      <c r="D9" s="4" t="s">
        <v>38</v>
      </c>
      <c r="E9" s="4" t="s">
        <v>33</v>
      </c>
      <c r="F9" s="4" t="s">
        <v>39</v>
      </c>
      <c r="G9" s="4" t="s">
        <v>40</v>
      </c>
      <c r="H9" s="4" t="s">
        <v>18</v>
      </c>
      <c r="I9" s="4" t="s">
        <v>41</v>
      </c>
    </row>
    <row r="10" customFormat="false" ht="26.85" hidden="false" customHeight="false" outlineLevel="0" collapsed="false">
      <c r="A10" s="4" t="s">
        <v>30</v>
      </c>
      <c r="B10" s="4" t="s">
        <v>42</v>
      </c>
      <c r="C10" s="4" t="s">
        <v>26</v>
      </c>
      <c r="D10" s="4" t="s">
        <v>43</v>
      </c>
      <c r="E10" s="4" t="s">
        <v>33</v>
      </c>
      <c r="F10" s="4" t="s">
        <v>44</v>
      </c>
      <c r="G10" s="4" t="s">
        <v>40</v>
      </c>
      <c r="H10" s="4" t="s">
        <v>18</v>
      </c>
      <c r="I10" s="4" t="s">
        <v>45</v>
      </c>
    </row>
    <row r="12" customFormat="false" ht="15" hidden="false" customHeight="false" outlineLevel="0" collapsed="false">
      <c r="A12" s="5" t="s">
        <v>46</v>
      </c>
      <c r="B12" s="6" t="n">
        <f aca="false">COUNTIF(F5:F10,"Granted")+COUNTIF(F5:F10,"Granted/validated")</f>
        <v>4</v>
      </c>
    </row>
    <row r="13" customFormat="false" ht="15" hidden="false" customHeight="false" outlineLevel="0" collapsed="false">
      <c r="A13" s="5" t="s">
        <v>47</v>
      </c>
      <c r="B13" s="6" t="n">
        <f aca="false">COUNTIF(F5:F10,"Pending*")</f>
        <v>2</v>
      </c>
    </row>
    <row r="14" customFormat="false" ht="15" hidden="false" customHeight="false" outlineLevel="0" collapsed="false">
      <c r="A14" s="5" t="s">
        <v>48</v>
      </c>
      <c r="B14" s="5" t="n">
        <f aca="false">COUNTA(B5:B10)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2026-06-28T01:01:39Z</dcterms:created>
  <dc:creator>openpyxl</dc:creator>
  <dc:description/>
  <dc:language>en-US</dc:language>
  <cp:lastModifiedBy/>
  <dcterms:modified xsi:type="dcterms:W3CDTF">2026-06-28T01:01:39Z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