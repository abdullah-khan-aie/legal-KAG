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oyalty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<sst xmlns="http://schemas.openxmlformats.org/spreadsheetml/2006/main" count="42" uniqueCount="37">
  <si>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t xml:space="preserve">Project Umbra — Royalty Model (Assumptions)</t>
  </si>
  <si>
    <t xml:space="preserve">Caspian Technologies Limited / Hollencroft Industrial Group plc</t>
  </si>
  <si>
    <t xml:space="preserve">Assumption</t>
  </si>
  <si>
    <t xml:space="preserve">Value</t>
  </si>
  <si>
    <t xml:space="preserve">Source / note</t>
  </si>
  <si>
    <t xml:space="preserve">Upfront licence fee (£)</t>
  </si>
  <si>
    <t xml:space="preserve">Agreed execution figure (clause 5.1(a))</t>
  </si>
  <si>
    <t xml:space="preserve">Running royalty rate</t>
  </si>
  <si>
    <t xml:space="preserve">7.5% of Net Revenue (clause 5.1(b))</t>
  </si>
  <si>
    <t xml:space="preserve">Min. royalty Year 1 (£)</t>
  </si>
  <si>
    <t xml:space="preserve">Schedule 2 para 4</t>
  </si>
  <si>
    <t xml:space="preserve">Min. royalty Year 2 (£)</t>
  </si>
  <si>
    <t xml:space="preserve">Min. royalty Year 3+ (£)</t>
  </si>
  <si>
    <t xml:space="preserve">Net Revenue Year 1 (£)</t>
  </si>
  <si>
    <t xml:space="preserve">Hollencroft forecast (data room 6.1)</t>
  </si>
  <si>
    <t xml:space="preserve">Net Revenue Year 2 (£)</t>
  </si>
  <si>
    <t xml:space="preserve">Hollencroft forecast</t>
  </si>
  <si>
    <t xml:space="preserve">Net Revenue Year 3 (£)</t>
  </si>
  <si>
    <t xml:space="preserve">Net Revenue Year 4 (£)</t>
  </si>
  <si>
    <t xml:space="preserve">Net Revenue Year 5 (£)</t>
  </si>
  <si>
    <t xml:space="preserve">Royalty Calculation by Contract Year</t>
  </si>
  <si>
    <t xml:space="preserve">Contract Year</t>
  </si>
  <si>
    <t xml:space="preserve">Net Revenue (£)</t>
  </si>
  <si>
    <t xml:space="preserve">Royalty rate</t>
  </si>
  <si>
    <t xml:space="preserve">Royalty on Net Rev (£)</t>
  </si>
  <si>
    <t xml:space="preserve">Minimum royalty (£)</t>
  </si>
  <si>
    <t xml:space="preserve">Royalty payable (£)</t>
  </si>
  <si>
    <t xml:space="preserve">Cumulative payable (£)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</si>
  <si>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</si>
  <si>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</si>
  <si>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</si>
  <si>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</si>
  <si>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</si>
  <si>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 (5 yrs)</t>
  </si>
  <si>
    <t xml:space="preserve">Upfront fee (£)</t>
  </si>
  <si>
    <t xml:space="preserve">Total to Caspian over 5 yrs incl. upfront (£)</t>
  </si>
  <si>
    <t xml:space="preserve">Note: Royalty payable is the greater of accrued royalty and the minimum annual royalty (clause 5.2).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</si>
</sst>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1250000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0.075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300000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500000</v>
      </c>
      <c r="C8" s="6" t="s">
        <v>10</v>
      </c>
    </row>
    <row r="9" customFormat="false" ht="15" hidden="false" customHeight="false" outlineLevel="0" collapsed="false">
      <c r="A9" s="4" t="s">
        <v>12</v>
      </c>
      <c r="B9" s="5" t="n">
        <v>750000</v>
      </c>
      <c r="C9" s="6" t="s">
        <v>10</v>
      </c>
    </row>
    <row r="10" customFormat="false" ht="15" hidden="false" customHeight="false" outlineLevel="0" collapsed="false">
      <c r="A10" s="4" t="s">
        <v>13</v>
      </c>
      <c r="B10" s="5" t="n">
        <v>2200000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5" t="n">
        <v>4800000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v>7600000</v>
      </c>
      <c r="C12" s="6" t="s">
        <v>16</v>
      </c>
    </row>
    <row r="13" customFormat="false" ht="15" hidden="false" customHeight="false" outlineLevel="0" collapsed="false">
      <c r="A13" s="4" t="s">
        <v>18</v>
      </c>
      <c r="B13" s="5" t="n">
        <v>9900000</v>
      </c>
      <c r="C13" s="6" t="s">
        <v>16</v>
      </c>
    </row>
    <row r="14" customFormat="false" ht="15" hidden="false" customHeight="false" outlineLevel="0" collapsed="false">
      <c r="A14" s="4" t="s">
        <v>19</v>
      </c>
      <c r="B14" s="5" t="n">
        <v>12200000</v>
      </c>
      <c r="C14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8"/>
  </cols>
  <sheetData>
    <row r="1" customFormat="false" ht="16.15" hidden="false" customHeight="false" outlineLevel="0" collapsed="false">
      <c r="A1" s="1" t="s">
        <v>20</v>
      </c>
    </row>
    <row r="3" customFormat="false" ht="26.85" hidden="false" customHeight="fals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customFormat="false" ht="15" hidden="false" customHeight="false" outlineLevel="0" collapsed="false">
      <c r="A4" s="8" t="s">
        <v>28</v>
      </c>
      <c r="B4" s="9" t="n">
        <f aca="false">Assumptions!B10</f>
        <v>2200000</v>
      </c>
      <c r="C4" s="10" t="n">
        <f aca="false">Assumptions!$B$6</f>
        <v>0.075</v>
      </c>
      <c r="D4" s="11" t="n">
        <f aca="false">B4*C4</f>
        <v>165000</v>
      </c>
      <c r="E4" s="9" t="n">
        <f aca="false">Assumptions!B7</f>
        <v>300000</v>
      </c>
      <c r="F4" s="11" t="n">
        <f aca="false">MAX(D4,E4)</f>
        <v>300000</v>
      </c>
      <c r="G4" s="11" t="n">
        <f aca="false">F4</f>
        <v>300000</v>
      </c>
    </row>
    <row r="5" customFormat="false" ht="15" hidden="false" customHeight="false" outlineLevel="0" collapsed="false">
      <c r="A5" s="8" t="s">
        <v>29</v>
      </c>
      <c r="B5" s="9" t="n">
        <f aca="false">Assumptions!B11</f>
        <v>4800000</v>
      </c>
      <c r="C5" s="10" t="n">
        <f aca="false">Assumptions!$B$6</f>
        <v>0.075</v>
      </c>
      <c r="D5" s="11" t="n">
        <f aca="false">B5*C5</f>
        <v>360000</v>
      </c>
      <c r="E5" s="9" t="n">
        <f aca="false">Assumptions!B8</f>
        <v>500000</v>
      </c>
      <c r="F5" s="11" t="n">
        <f aca="false">MAX(D5,E5)</f>
        <v>500000</v>
      </c>
      <c r="G5" s="11" t="n">
        <f aca="false">G4+F5</f>
        <v>800000</v>
      </c>
    </row>
    <row r="6" customFormat="false" ht="15" hidden="false" customHeight="false" outlineLevel="0" collapsed="false">
      <c r="A6" s="8" t="s">
        <v>30</v>
      </c>
      <c r="B6" s="9" t="n">
        <f aca="false">Assumptions!B12</f>
        <v>7600000</v>
      </c>
      <c r="C6" s="10" t="n">
        <f aca="false">Assumptions!$B$6</f>
        <v>0.075</v>
      </c>
      <c r="D6" s="11" t="n">
        <f aca="false">B6*C6</f>
        <v>570000</v>
      </c>
      <c r="E6" s="9" t="n">
        <f aca="false">Assumptions!B9</f>
        <v>750000</v>
      </c>
      <c r="F6" s="11" t="n">
        <f aca="false">MAX(D6,E6)</f>
        <v>750000</v>
      </c>
      <c r="G6" s="11" t="n">
        <f aca="false">G5+F6</f>
        <v>1550000</v>
      </c>
    </row>
    <row r="7" customFormat="false" ht="15" hidden="false" customHeight="false" outlineLevel="0" collapsed="false">
      <c r="A7" s="8" t="s">
        <v>31</v>
      </c>
      <c r="B7" s="9" t="n">
        <f aca="false">Assumptions!B13</f>
        <v>9900000</v>
      </c>
      <c r="C7" s="10" t="n">
        <f aca="false">Assumptions!$B$6</f>
        <v>0.075</v>
      </c>
      <c r="D7" s="11" t="n">
        <f aca="false">B7*C7</f>
        <v>742500</v>
      </c>
      <c r="E7" s="9" t="n">
        <f aca="false">Assumptions!B9</f>
        <v>750000</v>
      </c>
      <c r="F7" s="11" t="n">
        <f aca="false">MAX(D7,E7)</f>
        <v>750000</v>
      </c>
      <c r="G7" s="11" t="n">
        <f aca="false">G6+F7</f>
        <v>2300000</v>
      </c>
    </row>
    <row r="8" customFormat="false" ht="15" hidden="false" customHeight="false" outlineLevel="0" collapsed="false">
      <c r="A8" s="8" t="s">
        <v>32</v>
      </c>
      <c r="B8" s="9" t="n">
        <f aca="false">Assumptions!B14</f>
        <v>12200000</v>
      </c>
      <c r="C8" s="10" t="n">
        <f aca="false">Assumptions!$B$6</f>
        <v>0.075</v>
      </c>
      <c r="D8" s="11" t="n">
        <f aca="false">B8*C8</f>
        <v>915000</v>
      </c>
      <c r="E8" s="9" t="n">
        <f aca="false">Assumptions!B9</f>
        <v>750000</v>
      </c>
      <c r="F8" s="11" t="n">
        <f aca="false">MAX(D8,E8)</f>
        <v>915000</v>
      </c>
      <c r="G8" s="11" t="n">
        <f aca="false">G7+F8</f>
        <v>3215000</v>
      </c>
    </row>
    <row r="9" customFormat="false" ht="15" hidden="false" customHeight="false" outlineLevel="0" collapsed="false">
      <c r="A9" s="4" t="s">
        <v>33</v>
      </c>
      <c r="B9" s="12" t="n">
        <f aca="false">SUM(B4:B8)</f>
        <v>36700000</v>
      </c>
      <c r="C9" s="13"/>
      <c r="D9" s="12" t="n">
        <f aca="false">SUM(D4:D8)</f>
        <v>2752500</v>
      </c>
      <c r="E9" s="13"/>
      <c r="F9" s="12" t="n">
        <f aca="false">SUM(F4:F8)</f>
        <v>3215000</v>
      </c>
      <c r="G9" s="12" t="n">
        <f aca="false">G8</f>
        <v>3215000</v>
      </c>
    </row>
    <row r="11" customFormat="false" ht="15" hidden="false" customHeight="false" outlineLevel="0" collapsed="false">
      <c r="A11" s="14" t="s">
        <v>34</v>
      </c>
      <c r="B11" s="15" t="n">
        <f aca="false">Assumptions!B5</f>
        <v>1250000</v>
      </c>
    </row>
    <row r="12" customFormat="false" ht="15" hidden="false" customHeight="false" outlineLevel="0" collapsed="false">
      <c r="A12" s="14" t="s">
        <v>35</v>
      </c>
      <c r="B12" s="16" t="n">
        <f aca="false">F9+B11</f>
        <v>4465000</v>
      </c>
    </row>
    <row r="14" customFormat="false" ht="15" hidden="false" customHeight="false" outlineLevel="0" collapsed="false">
      <c r="A14" s="1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2026-06-28T01:01:39Z</dcterms:created>
  <dc:creator>openpyxl</dc:creator>
  <dc:description/>
  <dc:language>en-US</dc:language>
  <cp:lastModifiedBy/>
  <dcterms:modified xsi:type="dcterms:W3CDTF">2026-06-28T01:01:39Z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