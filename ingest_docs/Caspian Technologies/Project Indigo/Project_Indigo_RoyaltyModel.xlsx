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Royalty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355"/>
      <sz val="13"/>
    </font>
    <font>
      <i val="1"/>
      <color rgb="00666666"/>
      <sz val="9"/>
    </font>
    <font>
      <b val="1"/>
    </font>
    <font>
      <i val="1"/>
      <sz val="9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F335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6" fillId="0" borderId="1" pivotButton="0" quotePrefix="0" xfId="0"/>
    <xf numFmtId="3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  <col width="16" customWidth="1" min="4" max="4"/>
  </cols>
  <sheetData>
    <row r="1">
      <c r="A1" s="1" t="inlineStr">
        <is>
          <t>PROJECT INDIGO — FEE, MILESTONE &amp; ROYALTY MODEL</t>
        </is>
      </c>
    </row>
    <row r="2">
      <c r="A2" s="2" t="inlineStr">
        <is>
          <t>Caspian Technologies Limited / Aerelon Aviation Group plc  |  All figures £ unless stated  |  v final 14 Mar 2026</t>
        </is>
      </c>
    </row>
    <row r="4">
      <c r="A4" s="3" t="inlineStr">
        <is>
          <t>Upfront fee</t>
        </is>
      </c>
      <c r="B4" s="4" t="n">
        <v>4500000</v>
      </c>
    </row>
    <row r="5">
      <c r="A5" t="inlineStr">
        <is>
          <t xml:space="preserve">  — on Completion</t>
        </is>
      </c>
      <c r="B5" s="4" t="n">
        <v>2500000</v>
      </c>
    </row>
    <row r="6">
      <c r="A6" t="inlineStr">
        <is>
          <t xml:space="preserve">  — on Acceptance</t>
        </is>
      </c>
      <c r="B6" s="4" t="n">
        <v>2000000</v>
      </c>
    </row>
    <row r="7">
      <c r="A7" s="5" t="inlineStr">
        <is>
          <t>Check (sum of tranches)</t>
        </is>
      </c>
      <c r="B7" s="4">
        <f>B5+B6</f>
        <v/>
      </c>
    </row>
    <row r="9">
      <c r="A9" s="3" t="inlineStr">
        <is>
          <t>MILESTONE SCHEDULE</t>
        </is>
      </c>
    </row>
    <row r="10">
      <c r="A10" s="6" t="inlineStr">
        <is>
          <t>Milestone</t>
        </is>
      </c>
      <c r="B10" s="6" t="inlineStr">
        <is>
          <t>Description</t>
        </is>
      </c>
      <c r="C10" s="6" t="inlineStr">
        <is>
          <t>Target date</t>
        </is>
      </c>
      <c r="D10" s="6" t="inlineStr">
        <is>
          <t>Payment (£)</t>
        </is>
      </c>
    </row>
    <row r="11">
      <c r="A11" s="7" t="inlineStr">
        <is>
          <t>M1</t>
        </is>
      </c>
      <c r="B11" s="7" t="inlineStr">
        <is>
          <t>Solution design accepted; integration architecture signed off</t>
        </is>
      </c>
      <c r="C11" s="7" t="inlineStr">
        <is>
          <t>2026-05-15</t>
        </is>
      </c>
      <c r="D11" s="8" t="n">
        <v>2000000</v>
      </c>
    </row>
    <row r="12">
      <c r="A12" s="7" t="inlineStr">
        <is>
          <t>M2</t>
        </is>
      </c>
      <c r="B12" s="7" t="inlineStr">
        <is>
          <t>Core platform deployed to Licensee staging environment</t>
        </is>
      </c>
      <c r="C12" s="7" t="inlineStr">
        <is>
          <t>2026-07-31</t>
        </is>
      </c>
      <c r="D12" s="8" t="n">
        <v>2500000</v>
      </c>
    </row>
    <row r="13">
      <c r="A13" s="7" t="inlineStr">
        <is>
          <t>M3</t>
        </is>
      </c>
      <c r="B13" s="7" t="inlineStr">
        <is>
          <t>Aviation fuel-burn and SAF accounting modules delivered</t>
        </is>
      </c>
      <c r="C13" s="7" t="inlineStr">
        <is>
          <t>2026-10-15</t>
        </is>
      </c>
      <c r="D13" s="8" t="n">
        <v>3000000</v>
      </c>
    </row>
    <row r="14">
      <c r="A14" s="7" t="inlineStr">
        <is>
          <t>M4</t>
        </is>
      </c>
      <c r="B14" s="7" t="inlineStr">
        <is>
          <t>First production deployment and Acceptance</t>
        </is>
      </c>
      <c r="C14" s="7" t="inlineStr">
        <is>
          <t>2026-12-15</t>
        </is>
      </c>
      <c r="D14" s="8" t="n">
        <v>3500000</v>
      </c>
    </row>
    <row r="15">
      <c r="A15" s="7" t="inlineStr">
        <is>
          <t>M5</t>
        </is>
      </c>
      <c r="B15" s="7" t="inlineStr">
        <is>
          <t>CORSIA / EU-ETS regulatory reporting module live</t>
        </is>
      </c>
      <c r="C15" s="7" t="inlineStr">
        <is>
          <t>2027-03-31</t>
        </is>
      </c>
      <c r="D15" s="8" t="n">
        <v>3500000</v>
      </c>
    </row>
    <row r="16">
      <c r="A16" s="7" t="inlineStr">
        <is>
          <t>M6</t>
        </is>
      </c>
      <c r="B16" s="7" t="inlineStr">
        <is>
          <t>Group-wide roll-out completed; benchmarking module live</t>
        </is>
      </c>
      <c r="C16" s="7" t="inlineStr">
        <is>
          <t>2027-07-31</t>
        </is>
      </c>
      <c r="D16" s="8" t="n">
        <v>3500000</v>
      </c>
    </row>
    <row r="17">
      <c r="C17" s="3" t="inlineStr">
        <is>
          <t>Total milestones</t>
        </is>
      </c>
      <c r="D17" s="9">
        <f>SUM(D11:D16)</f>
        <v/>
      </c>
    </row>
    <row r="18">
      <c r="C18" s="5" t="inlineStr">
        <is>
          <t>Cap (per HoT)</t>
        </is>
      </c>
      <c r="D18" s="4" t="n">
        <v>18000000</v>
      </c>
    </row>
    <row r="19">
      <c r="C19" s="3" t="inlineStr">
        <is>
          <t>Total deal value (upfront + milestones)</t>
        </is>
      </c>
      <c r="D19" s="9">
        <f>B4+D17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18" customWidth="1" min="8" max="8"/>
  </cols>
  <sheetData>
    <row r="1">
      <c r="A1" s="1" t="inlineStr">
        <is>
          <t>ROYALTY PROJECTION (ILLUSTRATIVE)</t>
        </is>
      </c>
    </row>
    <row r="2">
      <c r="A2" s="2" t="inlineStr">
        <is>
          <t>Tiered running royalty on Net Revenues in the Field: 5% to £25m; 8% £25m–£60m; 11% above £60m. Minimum Annual Royalty £1,050,000 from Year 3.</t>
        </is>
      </c>
    </row>
    <row r="4">
      <c r="A4" t="inlineStr">
        <is>
          <t>Tier 1 rate</t>
        </is>
      </c>
      <c r="B4" s="10" t="n">
        <v>0.05</v>
      </c>
      <c r="C4" t="inlineStr">
        <is>
          <t>up to (£)</t>
        </is>
      </c>
      <c r="D4" s="4" t="n">
        <v>25000000</v>
      </c>
    </row>
    <row r="5">
      <c r="A5" t="inlineStr">
        <is>
          <t>Tier 2 rate</t>
        </is>
      </c>
      <c r="B5" s="10" t="n">
        <v>0.08</v>
      </c>
      <c r="C5" t="inlineStr">
        <is>
          <t>up to (£)</t>
        </is>
      </c>
      <c r="D5" s="4" t="n">
        <v>60000000</v>
      </c>
    </row>
    <row r="6">
      <c r="A6" t="inlineStr">
        <is>
          <t>Tier 3 rate</t>
        </is>
      </c>
      <c r="B6" s="10" t="n">
        <v>0.11</v>
      </c>
      <c r="C6" t="inlineStr">
        <is>
          <t>above (£)</t>
        </is>
      </c>
      <c r="D6" s="4" t="n">
        <v>60000000</v>
      </c>
    </row>
    <row r="7">
      <c r="A7" t="inlineStr">
        <is>
          <t>Minimum Annual Royalty (Yr3+)</t>
        </is>
      </c>
      <c r="B7" s="4" t="n">
        <v>1050000</v>
      </c>
    </row>
    <row r="9">
      <c r="A9" s="6" t="inlineStr">
        <is>
          <t>Royalty Year</t>
        </is>
      </c>
      <c r="B9" s="6" t="inlineStr">
        <is>
          <t>Net Revenue (£)</t>
        </is>
      </c>
      <c r="C9" s="6" t="inlineStr">
        <is>
          <t>Tier 1 royalty</t>
        </is>
      </c>
      <c r="D9" s="6" t="inlineStr">
        <is>
          <t>Tier 2 royalty</t>
        </is>
      </c>
      <c r="E9" s="6" t="inlineStr">
        <is>
          <t>Tier 3 royalty</t>
        </is>
      </c>
      <c r="F9" s="6" t="inlineStr">
        <is>
          <t>Computed royalty</t>
        </is>
      </c>
      <c r="G9" s="6" t="inlineStr">
        <is>
          <t>Min. applies?</t>
        </is>
      </c>
      <c r="H9" s="6" t="inlineStr">
        <is>
          <t>Royalty payable (£)</t>
        </is>
      </c>
    </row>
    <row r="10">
      <c r="A10" t="inlineStr">
        <is>
          <t>Year 1</t>
        </is>
      </c>
      <c r="B10" s="4" t="n">
        <v>8000000</v>
      </c>
      <c r="C10" s="4">
        <f>MIN(B10,$D$4)*$B$4</f>
        <v/>
      </c>
      <c r="D10" s="4">
        <f>MAX(0,MIN(B10,$D$5)-$D$4)*$B$5</f>
        <v/>
      </c>
      <c r="E10" s="4">
        <f>MAX(0,B10-$D$5)*$B$6</f>
        <v/>
      </c>
      <c r="F10" s="4">
        <f>C10+D10+E10</f>
        <v/>
      </c>
      <c r="G10" t="inlineStr">
        <is>
          <t>n/a</t>
        </is>
      </c>
      <c r="H10" s="4">
        <f>F10</f>
        <v/>
      </c>
    </row>
    <row r="11">
      <c r="A11" t="inlineStr">
        <is>
          <t>Year 2</t>
        </is>
      </c>
      <c r="B11" s="4" t="n">
        <v>16000000</v>
      </c>
      <c r="C11" s="4">
        <f>MIN(B11,$D$4)*$B$4</f>
        <v/>
      </c>
      <c r="D11" s="4">
        <f>MAX(0,MIN(B11,$D$5)-$D$4)*$B$5</f>
        <v/>
      </c>
      <c r="E11" s="4">
        <f>MAX(0,B11-$D$5)*$B$6</f>
        <v/>
      </c>
      <c r="F11" s="4">
        <f>C11+D11+E11</f>
        <v/>
      </c>
      <c r="G11" t="inlineStr">
        <is>
          <t>n/a</t>
        </is>
      </c>
      <c r="H11" s="4">
        <f>F11</f>
        <v/>
      </c>
    </row>
    <row r="12">
      <c r="A12" t="inlineStr">
        <is>
          <t>Year 3</t>
        </is>
      </c>
      <c r="B12" s="4" t="n">
        <v>28000000</v>
      </c>
      <c r="C12" s="4">
        <f>MIN(B12,$D$4)*$B$4</f>
        <v/>
      </c>
      <c r="D12" s="4">
        <f>MAX(0,MIN(B12,$D$5)-$D$4)*$B$5</f>
        <v/>
      </c>
      <c r="E12" s="4">
        <f>MAX(0,B12-$D$5)*$B$6</f>
        <v/>
      </c>
      <c r="F12" s="4">
        <f>C12+D12+E12</f>
        <v/>
      </c>
      <c r="G12">
        <f>IF(F12&lt;$B$7,"Yes","No")</f>
        <v/>
      </c>
      <c r="H12" s="4">
        <f>MAX(F12,$B$7)</f>
        <v/>
      </c>
    </row>
    <row r="13">
      <c r="A13" t="inlineStr">
        <is>
          <t>Year 4</t>
        </is>
      </c>
      <c r="B13" s="4" t="n">
        <v>42000000</v>
      </c>
      <c r="C13" s="4">
        <f>MIN(B13,$D$4)*$B$4</f>
        <v/>
      </c>
      <c r="D13" s="4">
        <f>MAX(0,MIN(B13,$D$5)-$D$4)*$B$5</f>
        <v/>
      </c>
      <c r="E13" s="4">
        <f>MAX(0,B13-$D$5)*$B$6</f>
        <v/>
      </c>
      <c r="F13" s="4">
        <f>C13+D13+E13</f>
        <v/>
      </c>
      <c r="G13">
        <f>IF(F13&lt;$B$7,"Yes","No")</f>
        <v/>
      </c>
      <c r="H13" s="4">
        <f>MAX(F13,$B$7)</f>
        <v/>
      </c>
    </row>
    <row r="14">
      <c r="A14" t="inlineStr">
        <is>
          <t>Year 5</t>
        </is>
      </c>
      <c r="B14" s="4" t="n">
        <v>58000000</v>
      </c>
      <c r="C14" s="4">
        <f>MIN(B14,$D$4)*$B$4</f>
        <v/>
      </c>
      <c r="D14" s="4">
        <f>MAX(0,MIN(B14,$D$5)-$D$4)*$B$5</f>
        <v/>
      </c>
      <c r="E14" s="4">
        <f>MAX(0,B14-$D$5)*$B$6</f>
        <v/>
      </c>
      <c r="F14" s="4">
        <f>C14+D14+E14</f>
        <v/>
      </c>
      <c r="G14">
        <f>IF(F14&lt;$B$7,"Yes","No")</f>
        <v/>
      </c>
      <c r="H14" s="4">
        <f>MAX(F14,$B$7)</f>
        <v/>
      </c>
    </row>
    <row r="15">
      <c r="A15" t="inlineStr">
        <is>
          <t>Year 6</t>
        </is>
      </c>
      <c r="B15" s="4" t="n">
        <v>72000000</v>
      </c>
      <c r="C15" s="4">
        <f>MIN(B15,$D$4)*$B$4</f>
        <v/>
      </c>
      <c r="D15" s="4">
        <f>MAX(0,MIN(B15,$D$5)-$D$4)*$B$5</f>
        <v/>
      </c>
      <c r="E15" s="4">
        <f>MAX(0,B15-$D$5)*$B$6</f>
        <v/>
      </c>
      <c r="F15" s="4">
        <f>C15+D15+E15</f>
        <v/>
      </c>
      <c r="G15">
        <f>IF(F15&lt;$B$7,"Yes","No")</f>
        <v/>
      </c>
      <c r="H15" s="4">
        <f>MAX(F15,$B$7)</f>
        <v/>
      </c>
    </row>
    <row r="16">
      <c r="A16" t="inlineStr">
        <is>
          <t>Year 7</t>
        </is>
      </c>
      <c r="B16" s="4" t="n">
        <v>88000000</v>
      </c>
      <c r="C16" s="4">
        <f>MIN(B16,$D$4)*$B$4</f>
        <v/>
      </c>
      <c r="D16" s="4">
        <f>MAX(0,MIN(B16,$D$5)-$D$4)*$B$5</f>
        <v/>
      </c>
      <c r="E16" s="4">
        <f>MAX(0,B16-$D$5)*$B$6</f>
        <v/>
      </c>
      <c r="F16" s="4">
        <f>C16+D16+E16</f>
        <v/>
      </c>
      <c r="G16">
        <f>IF(F16&lt;$B$7,"Yes","No")</f>
        <v/>
      </c>
      <c r="H16" s="4">
        <f>MAX(F16,$B$7)</f>
        <v/>
      </c>
    </row>
    <row r="17">
      <c r="A17" s="3" t="inlineStr">
        <is>
          <t>Total (Years 1–7)</t>
        </is>
      </c>
      <c r="H17" s="9">
        <f>SUM(H10:H16)</f>
        <v/>
      </c>
    </row>
    <row r="19">
      <c r="A19" s="2" t="inlineStr">
        <is>
          <t>Illustrative only; not a forecast. Net Revenue defined in Schedule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2026-06-25T21:27:57Z</dcterms:created>
  <dcterms:modified xmlns:dcterms="http://purl.org/dc/terms/" xmlns:xsi="http://www.w3.org/2001/XMLSchema-instance" xsi:type="dcterms:W3CDTF">2026-06-25T21:27:57Z</dcterms:modified>
</cp:coreProperties>
</file>