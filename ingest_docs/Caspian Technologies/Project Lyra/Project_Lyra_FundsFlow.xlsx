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sz val="9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164" fontId="4" fillId="3" borderId="1" pivotButton="0" quotePrefix="0" xfId="0"/>
    <xf numFmtId="164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16" customWidth="1" min="3" max="3"/>
  </cols>
  <sheetData>
    <row r="1">
      <c r="A1" s="1" t="inlineStr">
        <is>
          <t>Project Lyra — Completion Funds Flow Statement</t>
        </is>
      </c>
    </row>
    <row r="2">
      <c r="A2" s="2" t="inlineStr">
        <is>
          <t>Caspian Technologies Limited — Series C  |  Completion 12 June 2026  |  Prepared by Whitfield Carter LLP</t>
        </is>
      </c>
    </row>
    <row r="3">
      <c r="A3" s="3" t="inlineStr">
        <is>
          <t>All amounts in GBP. Client account: Whitfield Carter LLP, Sterling Commercial Bank plc, sort 20-00-00, a/c 41882190.</t>
        </is>
      </c>
    </row>
    <row r="5">
      <c r="A5" s="4" t="inlineStr">
        <is>
          <t>SOURCES — Subscription monies into WC client account</t>
        </is>
      </c>
    </row>
    <row r="6">
      <c r="A6" s="5" t="inlineStr">
        <is>
          <t>Payer</t>
        </is>
      </c>
      <c r="B6" s="5" t="inlineStr">
        <is>
          <t>Reference</t>
        </is>
      </c>
      <c r="C6" s="5" t="inlineStr">
        <is>
          <t>Amount (£)</t>
        </is>
      </c>
    </row>
    <row r="7">
      <c r="A7" s="6" t="inlineStr">
        <is>
          <t>Marisdale Growth Partners LLP</t>
        </is>
      </c>
      <c r="B7" s="6" t="inlineStr">
        <is>
          <t>SUBS-C-MAR</t>
        </is>
      </c>
      <c r="C7" s="7" t="n">
        <v>25000005</v>
      </c>
    </row>
    <row r="8">
      <c r="A8" s="6" t="inlineStr">
        <is>
          <t>Ravensworth Ventures LLP</t>
        </is>
      </c>
      <c r="B8" s="6" t="inlineStr">
        <is>
          <t>SUBS-C-RAV</t>
        </is>
      </c>
      <c r="C8" s="7" t="n">
        <v>4000005</v>
      </c>
    </row>
    <row r="9">
      <c r="A9" s="6" t="inlineStr">
        <is>
          <t>Aldridge Seed LP</t>
        </is>
      </c>
      <c r="B9" s="6" t="inlineStr">
        <is>
          <t>SUBS-C-ALD</t>
        </is>
      </c>
      <c r="C9" s="7" t="n">
        <v>999990</v>
      </c>
    </row>
    <row r="10">
      <c r="A10" s="8" t="inlineStr">
        <is>
          <t>Total sources</t>
        </is>
      </c>
      <c r="B10" s="9" t="n"/>
      <c r="C10" s="10">
        <f>SUM(C7:C9)</f>
        <v/>
      </c>
    </row>
    <row r="12">
      <c r="A12" s="4" t="inlineStr">
        <is>
          <t>APPLICATIONS — payments out of WC client account</t>
        </is>
      </c>
    </row>
    <row r="13">
      <c r="A13" s="5" t="inlineStr">
        <is>
          <t>Payee</t>
        </is>
      </c>
      <c r="B13" s="5" t="inlineStr">
        <is>
          <t>Purpose</t>
        </is>
      </c>
      <c r="C13" s="5" t="inlineStr">
        <is>
          <t>Amount (£)</t>
        </is>
      </c>
    </row>
    <row r="14">
      <c r="A14" s="6" t="inlineStr">
        <is>
          <t>Caspian Technologies Limited</t>
        </is>
      </c>
      <c r="B14" s="6" t="inlineStr">
        <is>
          <t>Net subscription proceeds to Company</t>
        </is>
      </c>
      <c r="C14" s="7">
        <f>C10-C15-C16-C17</f>
        <v/>
      </c>
    </row>
    <row r="15">
      <c r="A15" s="6" t="inlineStr">
        <is>
          <t>Hargrove &amp; Associates LLP</t>
        </is>
      </c>
      <c r="B15" s="6" t="inlineStr">
        <is>
          <t>Lead Investor legal fees (Company contribution, incl. VAT)</t>
        </is>
      </c>
      <c r="C15" s="7" t="n">
        <v>90000</v>
      </c>
    </row>
    <row r="16">
      <c r="A16" s="6" t="inlineStr">
        <is>
          <t>Whitfield Carter LLP</t>
        </is>
      </c>
      <c r="B16" s="6" t="inlineStr">
        <is>
          <t>Company legal fees on completion (incl. VAT)</t>
        </is>
      </c>
      <c r="C16" s="7" t="n">
        <v>132000</v>
      </c>
    </row>
    <row r="17">
      <c r="A17" s="6" t="inlineStr">
        <is>
          <t>Companies House</t>
        </is>
      </c>
      <c r="B17" s="6" t="inlineStr">
        <is>
          <t>Filing fees (SH01, special resolution)</t>
        </is>
      </c>
      <c r="C17" s="7" t="n">
        <v>80</v>
      </c>
    </row>
    <row r="18">
      <c r="A18" s="8" t="inlineStr">
        <is>
          <t>Total applications</t>
        </is>
      </c>
      <c r="B18" s="9" t="n"/>
      <c r="C18" s="10">
        <f>SUM(C14:C17)</f>
        <v/>
      </c>
    </row>
    <row r="20">
      <c r="A20" s="4" t="inlineStr">
        <is>
          <t>Reconciliation (sources − applications, must equal nil)</t>
        </is>
      </c>
      <c r="C20" s="11">
        <f>C10-C18</f>
        <v/>
      </c>
    </row>
    <row r="21">
      <c r="A21" t="inlineStr">
        <is>
          <t>Net proceeds to Company (cross-check vs term sheet)</t>
        </is>
      </c>
      <c r="C21" s="12">
        <f>C14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2026-06-20T20:12:45Z</dcterms:created>
  <dcterms:modified xmlns:dcterms="http://purl.org/dc/terms/" xmlns:xsi="http://www.w3.org/2001/XMLSchema-instance" xsi:type="dcterms:W3CDTF">2026-06-20T20:12:45Z</dcterms:modified>
</cp:coreProperties>
</file>