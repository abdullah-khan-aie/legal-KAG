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es Model" sheetId="1" state="visible" r:id="rId3"/>
    <sheet name="Service Credi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<sst xmlns="http://schemas.openxmlformats.org/spreadsheetml/2006/main" count="36" uniqueCount="36">
  <si>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Caspian Technologies Limited — Brookmere Asset Management plc</t>
  </si>
  <si>
    <t xml:space="preserve">Master Subscription &amp; Data Licence Agreement — Commercials Model (WC-00184)</t>
  </si>
  <si>
    <t xml:space="preserve">Prepared by Whitfield Carter LLP — figures exclusive of VAT</t>
  </si>
  <si>
    <t xml:space="preserve">Assumptions</t>
  </si>
  <si>
    <t xml:space="preserve">Platform subscription (Year 1, £)</t>
  </si>
  <si>
    <t xml:space="preserve">Data licence (Year 1, £)</t>
  </si>
  <si>
    <t xml:space="preserve">Named Users</t>
  </si>
  <si>
    <t xml:space="preserve">Initial Term (years)</t>
  </si>
  <si>
    <t xml:space="preserve">Annual escalation cap</t>
  </si>
  <si>
    <t xml:space="preserve">Assumed CPI escalator</t>
  </si>
  <si>
    <t xml:space="preserve">VAT rate</t>
  </si>
  <si>
    <t xml:space="preserve">Liability cap (× annual Fees)</t>
  </si>
  <si>
    <t xml:space="preserve">Applied escalator (lesser of cap and CPI)</t>
  </si>
  <si>
    <t xml:space="preserve">Fee schedule over Initial Term</t>
  </si>
  <si>
    <t xml:space="preserve">Line item</t>
  </si>
  <si>
    <t xml:space="preserve">Year 1</t>
  </si>
  <si>
    <t xml:space="preserve">Year 2</t>
  </si>
  <si>
    <t xml:space="preserve">Year 3</t>
  </si>
  <si>
    <t xml:space="preserve">3-yr total</t>
  </si>
  <si>
    <t xml:space="preserve">Platform subscription</t>
  </si>
  <si>
    <t xml:space="preserve">Data licence</t>
  </si>
  <si>
    <t xml:space="preserve">Total Fees (ex VAT)</t>
  </si>
  <si>
    <t xml:space="preserve">VAT</t>
  </si>
  <si>
    <t xml:space="preserve">Total payable (inc VAT)</t>
  </si>
  <si>
    <t xml:space="preserve">Liability cap (Year 1 Fees basis, £)</t>
  </si>
  <si>
    <t xml:space="preserve">150% of annual Fees (clause 11.3, as executed)</t>
  </si>
  <si>
    <t xml:space="preserve">Service-Credit Exposure (Schedule 2 SLA)</t>
  </si>
  <si>
    <t xml:space="preserve">Monthly platform fee (Year 1)</t>
  </si>
  <si>
    <t xml:space="preserve">Uptime band</t>
  </si>
  <si>
    <t xml:space="preserve">Credit % of monthly fee</t>
  </si>
  <si>
    <t xml:space="preserve">Credit (£)</t>
  </si>
  <si>
    <t xml:space="preserve">&lt; 99.7% and ≥ 99.0%</t>
  </si>
  <si>
    <t xml:space="preserve">&lt; 99.0% and ≥ 98.0%</t>
  </si>
  <si>
    <t xml:space="preserve">&lt; 98.0% and ≥ 95.0%</t>
  </si>
  <si>
    <t xml:space="preserve">&lt; 95.0%</t>
  </si>
  <si>
    <t xml:space="preserve">Annual aggregate cap on credits (15% of annual platform fee)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</si>
</sst>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680000</v>
      </c>
    </row>
    <row r="7" customFormat="false" ht="15" hidden="false" customHeight="false" outlineLevel="0" collapsed="false">
      <c r="A7" s="5" t="s">
        <v>5</v>
      </c>
      <c r="B7" s="6" t="n">
        <v>220000</v>
      </c>
    </row>
    <row r="8" customFormat="false" ht="15" hidden="false" customHeight="false" outlineLevel="0" collapsed="false">
      <c r="A8" s="5" t="s">
        <v>6</v>
      </c>
      <c r="B8" s="7" t="n">
        <v>120</v>
      </c>
    </row>
    <row r="9" customFormat="false" ht="15" hidden="false" customHeight="false" outlineLevel="0" collapsed="false">
      <c r="A9" s="5" t="s">
        <v>7</v>
      </c>
      <c r="B9" s="7" t="n">
        <v>3</v>
      </c>
    </row>
    <row r="10" customFormat="false" ht="15" hidden="false" customHeight="false" outlineLevel="0" collapsed="false">
      <c r="A10" s="5" t="s">
        <v>8</v>
      </c>
      <c r="B10" s="8" t="n">
        <v>0.04</v>
      </c>
    </row>
    <row r="11" customFormat="false" ht="15" hidden="false" customHeight="false" outlineLevel="0" collapsed="false">
      <c r="A11" s="5" t="s">
        <v>9</v>
      </c>
      <c r="B11" s="8" t="n">
        <v>0.032</v>
      </c>
    </row>
    <row r="12" customFormat="false" ht="15" hidden="false" customHeight="false" outlineLevel="0" collapsed="false">
      <c r="A12" s="5" t="s">
        <v>10</v>
      </c>
      <c r="B12" s="8" t="n">
        <v>0.2</v>
      </c>
    </row>
    <row r="13" customFormat="false" ht="15" hidden="false" customHeight="false" outlineLevel="0" collapsed="false">
      <c r="A13" s="5" t="s">
        <v>11</v>
      </c>
      <c r="B13" s="8" t="n">
        <v>1.5</v>
      </c>
    </row>
    <row r="14" customFormat="false" ht="15" hidden="false" customHeight="false" outlineLevel="0" collapsed="false">
      <c r="A14" s="5" t="s">
        <v>12</v>
      </c>
      <c r="B14" s="9" t="n">
        <f aca="false">MIN(B10,B11)</f>
        <v>0.032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10" t="s">
        <v>14</v>
      </c>
      <c r="B17" s="10" t="s">
        <v>15</v>
      </c>
      <c r="C17" s="10" t="s">
        <v>16</v>
      </c>
      <c r="D17" s="10" t="s">
        <v>17</v>
      </c>
      <c r="E17" s="10" t="s">
        <v>18</v>
      </c>
    </row>
    <row r="18" customFormat="false" ht="15" hidden="false" customHeight="false" outlineLevel="0" collapsed="false">
      <c r="A18" s="5" t="s">
        <v>19</v>
      </c>
      <c r="B18" s="11" t="n">
        <f aca="false">B6</f>
        <v>680000</v>
      </c>
      <c r="C18" s="11" t="n">
        <f aca="false">B18*(1+$B$14)</f>
        <v>701760</v>
      </c>
      <c r="D18" s="11" t="n">
        <f aca="false">C18*(1+$B$14)</f>
        <v>724216.32</v>
      </c>
      <c r="E18" s="11" t="n">
        <f aca="false">SUM(B18:D18)</f>
        <v>2105976.32</v>
      </c>
    </row>
    <row r="19" customFormat="false" ht="15" hidden="false" customHeight="false" outlineLevel="0" collapsed="false">
      <c r="A19" s="5" t="s">
        <v>20</v>
      </c>
      <c r="B19" s="11" t="n">
        <f aca="false">B7</f>
        <v>220000</v>
      </c>
      <c r="C19" s="11" t="n">
        <f aca="false">B19*(1+$B$14)</f>
        <v>227040</v>
      </c>
      <c r="D19" s="11" t="n">
        <f aca="false">C19*(1+$B$14)</f>
        <v>234305.28</v>
      </c>
      <c r="E19" s="11" t="n">
        <f aca="false">SUM(B19:D19)</f>
        <v>681345.28</v>
      </c>
    </row>
    <row r="20" customFormat="false" ht="15" hidden="false" customHeight="false" outlineLevel="0" collapsed="false">
      <c r="A20" s="4" t="s">
        <v>21</v>
      </c>
      <c r="B20" s="12" t="n">
        <f aca="false">SUM(B18:B19)</f>
        <v>900000</v>
      </c>
      <c r="C20" s="12" t="n">
        <f aca="false">SUM(C18:C19)</f>
        <v>928800</v>
      </c>
      <c r="D20" s="12" t="n">
        <f aca="false">SUM(D18:D19)</f>
        <v>958521.6</v>
      </c>
      <c r="E20" s="12" t="n">
        <f aca="false">SUM(B20:D20)</f>
        <v>2787321.6</v>
      </c>
    </row>
    <row r="21" customFormat="false" ht="15" hidden="false" customHeight="false" outlineLevel="0" collapsed="false">
      <c r="A21" s="5" t="s">
        <v>22</v>
      </c>
      <c r="B21" s="11" t="n">
        <f aca="false">B20*$B$12</f>
        <v>180000</v>
      </c>
      <c r="C21" s="11" t="n">
        <f aca="false">C20*$B$12</f>
        <v>185760</v>
      </c>
      <c r="D21" s="11" t="n">
        <f aca="false">D20*$B$12</f>
        <v>191704.32</v>
      </c>
      <c r="E21" s="11" t="n">
        <f aca="false">SUM(B21:D21)</f>
        <v>557464.32</v>
      </c>
    </row>
    <row r="22" customFormat="false" ht="15" hidden="false" customHeight="false" outlineLevel="0" collapsed="false">
      <c r="A22" s="4" t="s">
        <v>23</v>
      </c>
      <c r="B22" s="12" t="n">
        <f aca="false">B20+B21</f>
        <v>1080000</v>
      </c>
      <c r="C22" s="12" t="n">
        <f aca="false">C20+C21</f>
        <v>1114560</v>
      </c>
      <c r="D22" s="12" t="n">
        <f aca="false">D20+D21</f>
        <v>1150225.92</v>
      </c>
      <c r="E22" s="12" t="n">
        <f aca="false">SUM(B22:D22)</f>
        <v>3344785.92</v>
      </c>
    </row>
    <row r="24" customFormat="false" ht="15" hidden="false" customHeight="false" outlineLevel="0" collapsed="false">
      <c r="A24" s="5" t="s">
        <v>24</v>
      </c>
      <c r="B24" s="13" t="n">
        <f aca="false">B20*B13</f>
        <v>1350000</v>
      </c>
      <c r="C24" s="3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5" t="s">
        <v>27</v>
      </c>
      <c r="B3" s="14" t="n">
        <f aca="false">'Fees Model'!B6/12</f>
        <v>56666.6666666667</v>
      </c>
    </row>
    <row r="5" customFormat="false" ht="15" hidden="false" customHeight="false" outlineLevel="0" collapsed="false">
      <c r="A5" s="10" t="s">
        <v>28</v>
      </c>
      <c r="B5" s="10" t="s">
        <v>29</v>
      </c>
      <c r="C5" s="10" t="s">
        <v>30</v>
      </c>
    </row>
    <row r="6" customFormat="false" ht="15" hidden="false" customHeight="false" outlineLevel="0" collapsed="false">
      <c r="A6" s="15" t="s">
        <v>31</v>
      </c>
      <c r="B6" s="16" t="n">
        <v>0.05</v>
      </c>
      <c r="C6" s="11" t="n">
        <f aca="false">$B$3*B6</f>
        <v>2833.33333333333</v>
      </c>
    </row>
    <row r="7" customFormat="false" ht="15" hidden="false" customHeight="false" outlineLevel="0" collapsed="false">
      <c r="A7" s="15" t="s">
        <v>32</v>
      </c>
      <c r="B7" s="16" t="n">
        <v>0.1</v>
      </c>
      <c r="C7" s="11" t="n">
        <f aca="false">$B$3*B7</f>
        <v>5666.66666666667</v>
      </c>
    </row>
    <row r="8" customFormat="false" ht="15" hidden="false" customHeight="false" outlineLevel="0" collapsed="false">
      <c r="A8" s="15" t="s">
        <v>33</v>
      </c>
      <c r="B8" s="16" t="n">
        <v>0.15</v>
      </c>
      <c r="C8" s="11" t="n">
        <f aca="false">$B$3*B8</f>
        <v>8500</v>
      </c>
    </row>
    <row r="9" customFormat="false" ht="15" hidden="false" customHeight="false" outlineLevel="0" collapsed="false">
      <c r="A9" s="15" t="s">
        <v>34</v>
      </c>
      <c r="B9" s="16" t="n">
        <v>0.25</v>
      </c>
      <c r="C9" s="11" t="n">
        <f aca="false">$B$3*B9</f>
        <v>14166.6666666667</v>
      </c>
    </row>
    <row r="11" customFormat="false" ht="15" hidden="false" customHeight="false" outlineLevel="0" collapsed="false">
      <c r="A11" s="5" t="s">
        <v>35</v>
      </c>
      <c r="B11" s="13" t="n">
        <f aca="false">'Fees Model'!B6*0.15</f>
        <v>102000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2026-06-29T17:48:56Z</dcterms:created>
  <dc:creator>openpyxl</dc:creator>
  <dc:description/>
  <dc:language>en-US</dc:language>
  <cp:lastModifiedBy/>
  <dcterms:modified xsi:type="dcterms:W3CDTF">2026-06-29T17:48:56Z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