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3-Year TCV" sheetId="2" state="visible" r:id="rId2"/>
    <sheet xmlns:r="http://schemas.openxmlformats.org/officeDocument/2006/relationships" name="User 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;(£#,##0);&quot;-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b val="1"/>
      <sz val="11"/>
    </font>
    <font>
      <name val="Arial"/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" fontId="5" fillId="0" borderId="1" pivotButton="0" quotePrefix="0" xfId="0"/>
    <xf numFmtId="0" fontId="3" fillId="2" borderId="1" applyAlignment="1" pivotButton="0" quotePrefix="0" xfId="0">
      <alignment horizontal="right"/>
    </xf>
    <xf numFmtId="164" fontId="0" fillId="0" borderId="1" pivotButton="0" quotePrefix="0" xfId="0"/>
    <xf numFmtId="164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6" fillId="0" borderId="0" pivotButton="0" quotePrefix="0" xfId="0"/>
    <xf numFmtId="164" fontId="7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0" customWidth="1" min="3" max="3"/>
  </cols>
  <sheetData>
    <row r="1">
      <c r="A1" s="1" t="inlineStr">
        <is>
          <t>Caspian Atlas — Harborlight Retail Group plc</t>
        </is>
      </c>
    </row>
    <row r="2">
      <c r="A2" s="2" t="inlineStr">
        <is>
          <t>Subscription pricing model (matter WC-00150)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Platform subscription — Year 1 (£ p.a.)</t>
        </is>
      </c>
      <c r="B5" s="5" t="n">
        <v>285000</v>
      </c>
      <c r="C5" s="4" t="inlineStr">
        <is>
          <t>Tier: Enterprise</t>
        </is>
      </c>
    </row>
    <row r="6">
      <c r="A6" s="4" t="inlineStr">
        <is>
          <t>Annual uplift (Years 2 &amp; 3)</t>
        </is>
      </c>
      <c r="B6" s="6" t="n">
        <v>0.04</v>
      </c>
      <c r="C6" s="4" t="inlineStr">
        <is>
          <t>Contractual fixed uplift</t>
        </is>
      </c>
    </row>
    <row r="7">
      <c r="A7" s="4" t="inlineStr">
        <is>
          <t>Emissions data licence (£ p.a.)</t>
        </is>
      </c>
      <c r="B7" s="5" t="n">
        <v>95000</v>
      </c>
      <c r="C7" s="4" t="inlineStr">
        <is>
          <t>Scope 3 dataset</t>
        </is>
      </c>
    </row>
    <row r="8">
      <c r="A8" s="4" t="inlineStr">
        <is>
          <t>Onboarding (one-off £)</t>
        </is>
      </c>
      <c r="B8" s="5" t="n">
        <v>60000</v>
      </c>
      <c r="C8" s="4" t="inlineStr">
        <is>
          <t>10-week implementation</t>
        </is>
      </c>
    </row>
    <row r="9">
      <c r="A9" s="4" t="inlineStr">
        <is>
          <t>Premium support (£ p.a.)</t>
        </is>
      </c>
      <c r="B9" s="5" t="n">
        <v>38000</v>
      </c>
      <c r="C9" s="4" t="inlineStr">
        <is>
          <t>24x7 P1, named CSM</t>
        </is>
      </c>
    </row>
    <row r="10">
      <c r="A10" s="4" t="inlineStr">
        <is>
          <t>Named users included</t>
        </is>
      </c>
      <c r="B10" s="7" t="n">
        <v>150</v>
      </c>
      <c r="C10" s="4" t="inlineStr"/>
    </row>
    <row r="11">
      <c r="A11" s="4" t="inlineStr">
        <is>
          <t>Additional user (£/user/yr)</t>
        </is>
      </c>
      <c r="B11" s="5" t="n">
        <v>480</v>
      </c>
      <c r="C11" s="4" t="inlineStr"/>
    </row>
    <row r="12">
      <c r="A12" s="4" t="inlineStr">
        <is>
          <t>Payment terms (days)</t>
        </is>
      </c>
      <c r="B12" s="7" t="n">
        <v>30</v>
      </c>
      <c r="C12" s="4" t="inlineStr">
        <is>
          <t>Net, annual in advance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Total Contract Value — 3-Year Initial Term</t>
        </is>
      </c>
    </row>
    <row r="3">
      <c r="A3" s="3" t="inlineStr">
        <is>
          <t>Line item</t>
        </is>
      </c>
      <c r="B3" s="8" t="inlineStr">
        <is>
          <t>Year 1</t>
        </is>
      </c>
      <c r="C3" s="8" t="inlineStr">
        <is>
          <t>Year 2</t>
        </is>
      </c>
      <c r="D3" s="8" t="inlineStr">
        <is>
          <t>Year 3</t>
        </is>
      </c>
      <c r="E3" s="8" t="inlineStr">
        <is>
          <t>Total</t>
        </is>
      </c>
    </row>
    <row r="4">
      <c r="A4" s="4" t="inlineStr">
        <is>
          <t>Platform subscription</t>
        </is>
      </c>
      <c r="B4" s="9">
        <f>Assumptions!B5</f>
        <v/>
      </c>
      <c r="C4" s="9">
        <f>B4*(1+Assumptions!B6)</f>
        <v/>
      </c>
      <c r="D4" s="9">
        <f>C4*(1+Assumptions!B6)</f>
        <v/>
      </c>
      <c r="E4" s="10">
        <f>SUM(B4:D4)</f>
        <v/>
      </c>
    </row>
    <row r="5">
      <c r="A5" s="4" t="inlineStr">
        <is>
          <t>Emissions data licence</t>
        </is>
      </c>
      <c r="B5" s="9">
        <f>Assumptions!B7</f>
        <v/>
      </c>
      <c r="C5" s="9">
        <f>B5</f>
        <v/>
      </c>
      <c r="D5" s="9">
        <f>B5</f>
        <v/>
      </c>
      <c r="E5" s="10">
        <f>SUM(B5:D5)</f>
        <v/>
      </c>
    </row>
    <row r="6">
      <c r="A6" s="4" t="inlineStr">
        <is>
          <t>Premium support</t>
        </is>
      </c>
      <c r="B6" s="9">
        <f>Assumptions!B9</f>
        <v/>
      </c>
      <c r="C6" s="9">
        <f>B6</f>
        <v/>
      </c>
      <c r="D6" s="9">
        <f>B6</f>
        <v/>
      </c>
      <c r="E6" s="10">
        <f>SUM(B6:D6)</f>
        <v/>
      </c>
    </row>
    <row r="7">
      <c r="A7" s="4" t="inlineStr">
        <is>
          <t>Onboarding (one-off)</t>
        </is>
      </c>
      <c r="B7" s="9">
        <f>Assumptions!B8</f>
        <v/>
      </c>
      <c r="C7" s="9" t="n">
        <v>0</v>
      </c>
      <c r="D7" s="9" t="n">
        <v>0</v>
      </c>
      <c r="E7" s="10">
        <f>SUM(B7:D7)</f>
        <v/>
      </c>
    </row>
    <row r="8">
      <c r="A8" s="11" t="inlineStr">
        <is>
          <t>Annual subtotal</t>
        </is>
      </c>
      <c r="B8" s="12">
        <f>SUM(B4:B7)</f>
        <v/>
      </c>
      <c r="C8" s="12">
        <f>SUM(C4:C7)</f>
        <v/>
      </c>
      <c r="D8" s="12">
        <f>SUM(D4:D7)</f>
        <v/>
      </c>
      <c r="E8" s="12">
        <f>SUM(B8:D8)</f>
        <v/>
      </c>
    </row>
    <row r="10">
      <c r="A10" s="13" t="inlineStr">
        <is>
          <t>Total Contract Value (TCV)</t>
        </is>
      </c>
      <c r="B10" s="14">
        <f>E8</f>
        <v/>
      </c>
    </row>
    <row r="11">
      <c r="A11" s="15" t="inlineStr">
        <is>
          <t>Average Annual Contract Value (ex-onboarding)</t>
        </is>
      </c>
      <c r="B11" s="16">
        <f>(E8-E7)/3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Additional Named-User Scenarios (annual)</t>
        </is>
      </c>
    </row>
    <row r="3">
      <c r="A3" s="17" t="inlineStr">
        <is>
          <t>Total named users</t>
        </is>
      </c>
      <c r="B3" s="17" t="inlineStr">
        <is>
          <t>Included</t>
        </is>
      </c>
      <c r="C3" s="17" t="inlineStr">
        <is>
          <t>Additional users</t>
        </is>
      </c>
      <c r="D3" s="17" t="inlineStr">
        <is>
          <t>Extra fee (£/yr)</t>
        </is>
      </c>
      <c r="E3" s="17" t="inlineStr">
        <is>
          <t>Total user uplift (£/yr)</t>
        </is>
      </c>
    </row>
    <row r="4">
      <c r="A4" s="7" t="n">
        <v>150</v>
      </c>
      <c r="B4" s="18">
        <f>Assumptions!B10</f>
        <v/>
      </c>
      <c r="C4" s="18">
        <f>MAX(0,A4-B4)</f>
        <v/>
      </c>
      <c r="D4" s="9">
        <f>Assumptions!B11</f>
        <v/>
      </c>
      <c r="E4" s="9">
        <f>C4*D4</f>
        <v/>
      </c>
    </row>
    <row r="5">
      <c r="A5" s="7" t="n">
        <v>175</v>
      </c>
      <c r="B5" s="18">
        <f>Assumptions!B10</f>
        <v/>
      </c>
      <c r="C5" s="18">
        <f>MAX(0,A5-B5)</f>
        <v/>
      </c>
      <c r="D5" s="9">
        <f>Assumptions!B11</f>
        <v/>
      </c>
      <c r="E5" s="9">
        <f>C5*D5</f>
        <v/>
      </c>
    </row>
    <row r="6">
      <c r="A6" s="7" t="n">
        <v>200</v>
      </c>
      <c r="B6" s="18">
        <f>Assumptions!B10</f>
        <v/>
      </c>
      <c r="C6" s="18">
        <f>MAX(0,A6-B6)</f>
        <v/>
      </c>
      <c r="D6" s="9">
        <f>Assumptions!B11</f>
        <v/>
      </c>
      <c r="E6" s="9">
        <f>C6*D6</f>
        <v/>
      </c>
    </row>
    <row r="7">
      <c r="A7" s="7" t="n">
        <v>250</v>
      </c>
      <c r="B7" s="18">
        <f>Assumptions!B10</f>
        <v/>
      </c>
      <c r="C7" s="18">
        <f>MAX(0,A7-B7)</f>
        <v/>
      </c>
      <c r="D7" s="9">
        <f>Assumptions!B11</f>
        <v/>
      </c>
      <c r="E7" s="9">
        <f>C7*D7</f>
        <v/>
      </c>
    </row>
    <row r="8">
      <c r="A8" s="7" t="n">
        <v>300</v>
      </c>
      <c r="B8" s="18">
        <f>Assumptions!B10</f>
        <v/>
      </c>
      <c r="C8" s="18">
        <f>MAX(0,A8-B8)</f>
        <v/>
      </c>
      <c r="D8" s="9">
        <f>Assumptions!B11</f>
        <v/>
      </c>
      <c r="E8" s="9">
        <f>C8*D8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2026-06-26T20:56:20Z</dcterms:created>
  <dcterms:modified xmlns:dcterms="http://purl.org/dc/terms/" xmlns:xsi="http://www.w3.org/2001/XMLSchema-instance" xsi:type="dcterms:W3CDTF">2026-06-26T20:56:20Z</dcterms:modified>
</cp:coreProperties>
</file>