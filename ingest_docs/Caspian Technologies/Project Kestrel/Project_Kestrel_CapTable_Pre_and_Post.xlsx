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Roun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2E5496"/>
      <sz val="11"/>
    </font>
    <font>
      <i val="1"/>
      <color rgb="00595959"/>
      <sz val="9"/>
    </font>
    <font>
      <b val="1"/>
      <sz val="10"/>
    </font>
    <font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Caspian Technologies Limited</t>
        </is>
      </c>
    </row>
    <row r="2">
      <c r="A2" s="2" t="inlineStr">
        <is>
          <t>Project Kestrel — Series B Capitalisation Table (pre- and post-money)</t>
        </is>
      </c>
    </row>
    <row r="3">
      <c r="A3" s="3" t="inlineStr">
        <is>
          <t>Prepared by Whitfield Carter LLP  |  Completion: 18 March 2026  |  All figures fully diluted (Companies House no. 11428637)</t>
        </is>
      </c>
    </row>
    <row r="5">
      <c r="A5" s="4" t="inlineStr">
        <is>
          <t>Key terms</t>
        </is>
      </c>
    </row>
    <row r="7">
      <c r="A7" s="5" t="inlineStr">
        <is>
          <t>Pre-money valuation (£)</t>
        </is>
      </c>
      <c r="C7" s="6" t="n">
        <v>60000000</v>
      </c>
    </row>
    <row r="8">
      <c r="A8" s="5" t="inlineStr">
        <is>
          <t>New investment — Series B (£)</t>
        </is>
      </c>
      <c r="C8" s="6" t="n">
        <v>20000000</v>
      </c>
    </row>
    <row r="9">
      <c r="A9" s="5" t="inlineStr">
        <is>
          <t>Post-money valuation (£)</t>
        </is>
      </c>
      <c r="C9" s="6">
        <f>C7+C8</f>
        <v/>
      </c>
    </row>
    <row r="10">
      <c r="A10" s="5" t="inlineStr">
        <is>
          <t>Price per share (£)</t>
        </is>
      </c>
      <c r="C10" s="7" t="n">
        <v>10</v>
      </c>
    </row>
    <row r="11">
      <c r="A11" s="5" t="inlineStr">
        <is>
          <t>New Series B shares issued</t>
        </is>
      </c>
      <c r="C11" s="8">
        <f>C8/C10</f>
        <v/>
      </c>
    </row>
    <row r="12">
      <c r="A12" s="5" t="inlineStr">
        <is>
          <t>Series B holding post-money (%)</t>
        </is>
      </c>
      <c r="C12" s="9">
        <f>C11/F20</f>
        <v/>
      </c>
    </row>
    <row r="14">
      <c r="A14" s="10" t="inlineStr">
        <is>
          <t>Shareholder</t>
        </is>
      </c>
      <c r="B14" s="10" t="inlineStr">
        <is>
          <t>Instrument</t>
        </is>
      </c>
      <c r="C14" s="10" t="inlineStr">
        <is>
          <t>Shares (pre)</t>
        </is>
      </c>
      <c r="D14" s="10" t="inlineStr">
        <is>
          <t>% (pre)</t>
        </is>
      </c>
      <c r="E14" s="10" t="inlineStr">
        <is>
          <t>New shares</t>
        </is>
      </c>
      <c r="F14" s="10" t="inlineStr">
        <is>
          <t>Shares (post)</t>
        </is>
      </c>
      <c r="G14" s="10" t="inlineStr">
        <is>
          <t>Value post (£)</t>
        </is>
      </c>
      <c r="H14" s="10" t="inlineStr">
        <is>
          <t>% (post)</t>
        </is>
      </c>
    </row>
    <row r="15">
      <c r="A15" s="11" t="inlineStr">
        <is>
          <t>Henry Larsson (Founder, CEO)</t>
        </is>
      </c>
      <c r="B15" s="11" t="inlineStr">
        <is>
          <t>Ordinary</t>
        </is>
      </c>
      <c r="C15" s="12" t="n">
        <v>2400000</v>
      </c>
      <c r="D15" s="13">
        <f>C15/$C$20</f>
        <v/>
      </c>
      <c r="E15" s="12" t="n">
        <v>0</v>
      </c>
      <c r="F15" s="12">
        <f>C15+E15</f>
        <v/>
      </c>
      <c r="G15" s="14">
        <f>F15*$C$10</f>
        <v/>
      </c>
      <c r="H15" s="13">
        <f>F15/$F$20</f>
        <v/>
      </c>
    </row>
    <row r="16">
      <c r="A16" s="11" t="inlineStr">
        <is>
          <t>Theo Eriksson (Co-founder, CTO)</t>
        </is>
      </c>
      <c r="B16" s="11" t="inlineStr">
        <is>
          <t>Ordinary</t>
        </is>
      </c>
      <c r="C16" s="12" t="n">
        <v>1800000</v>
      </c>
      <c r="D16" s="13">
        <f>C16/$C$20</f>
        <v/>
      </c>
      <c r="E16" s="12" t="n">
        <v>0</v>
      </c>
      <c r="F16" s="12">
        <f>C16+E16</f>
        <v/>
      </c>
      <c r="G16" s="14">
        <f>F16*$C$10</f>
        <v/>
      </c>
      <c r="H16" s="13">
        <f>F16/$F$20</f>
        <v/>
      </c>
    </row>
    <row r="17">
      <c r="A17" s="11" t="inlineStr">
        <is>
          <t>Aldridge Seed LP</t>
        </is>
      </c>
      <c r="B17" s="11" t="inlineStr">
        <is>
          <t>Series Seed Preferred</t>
        </is>
      </c>
      <c r="C17" s="12" t="n">
        <v>1200000</v>
      </c>
      <c r="D17" s="13">
        <f>C17/$C$20</f>
        <v/>
      </c>
      <c r="E17" s="12" t="n">
        <v>0</v>
      </c>
      <c r="F17" s="12">
        <f>C17+E17</f>
        <v/>
      </c>
      <c r="G17" s="14">
        <f>F17*$C$10</f>
        <v/>
      </c>
      <c r="H17" s="13">
        <f>F17/$F$20</f>
        <v/>
      </c>
    </row>
    <row r="18">
      <c r="A18" s="11" t="inlineStr">
        <is>
          <t>EMI Option Pool (reserved)</t>
        </is>
      </c>
      <c r="B18" s="11" t="inlineStr">
        <is>
          <t>Options</t>
        </is>
      </c>
      <c r="C18" s="12" t="n">
        <v>600000</v>
      </c>
      <c r="D18" s="13">
        <f>C18/$C$20</f>
        <v/>
      </c>
      <c r="E18" s="12" t="n">
        <v>0</v>
      </c>
      <c r="F18" s="12">
        <f>C18+E18</f>
        <v/>
      </c>
      <c r="G18" s="14">
        <f>F18*$C$10</f>
        <v/>
      </c>
      <c r="H18" s="13">
        <f>F18/$F$20</f>
        <v/>
      </c>
    </row>
    <row r="19">
      <c r="A19" s="11" t="inlineStr">
        <is>
          <t>Ravensworth Ventures LLP</t>
        </is>
      </c>
      <c r="B19" s="11" t="inlineStr">
        <is>
          <t>Series B Preferred</t>
        </is>
      </c>
      <c r="C19" s="12" t="n">
        <v>0</v>
      </c>
      <c r="D19" s="13">
        <f>C19/$C$20</f>
        <v/>
      </c>
      <c r="E19" s="12" t="n">
        <v>2000000</v>
      </c>
      <c r="F19" s="12">
        <f>C19+E19</f>
        <v/>
      </c>
      <c r="G19" s="14">
        <f>F19*$C$10</f>
        <v/>
      </c>
      <c r="H19" s="13">
        <f>F19/$F$20</f>
        <v/>
      </c>
    </row>
    <row r="20">
      <c r="A20" s="15" t="inlineStr">
        <is>
          <t>Total (fully diluted)</t>
        </is>
      </c>
      <c r="B20" s="15" t="n"/>
      <c r="C20" s="16">
        <f>SUM(C15:C19)</f>
        <v/>
      </c>
      <c r="D20" s="17">
        <f>SUM(D15:D19)</f>
        <v/>
      </c>
      <c r="E20" s="16">
        <f>SUM(E15:E19)</f>
        <v/>
      </c>
      <c r="F20" s="16">
        <f>SUM(F15:F19)</f>
        <v/>
      </c>
      <c r="G20" s="18">
        <f>SUM(G15:G19)</f>
        <v/>
      </c>
      <c r="H20" s="17">
        <f>SUM(H15:H19)</f>
        <v/>
      </c>
    </row>
    <row r="22">
      <c r="A22" s="4" t="inlineStr">
        <is>
          <t>Checks</t>
        </is>
      </c>
    </row>
    <row r="23">
      <c r="A23" t="inlineStr">
        <is>
          <t>Ravensworth post-money holding</t>
        </is>
      </c>
      <c r="H23" s="19">
        <f>H19</f>
        <v/>
      </c>
    </row>
    <row r="24">
      <c r="A24" t="inlineStr">
        <is>
          <t>Post-money shares × price = post-money valuation</t>
        </is>
      </c>
      <c r="G24" s="20">
        <f>F20*C10</f>
        <v/>
      </c>
    </row>
    <row r="25">
      <c r="A25" t="inlineStr">
        <is>
          <t>Implied investment (Series B shares × price)</t>
        </is>
      </c>
      <c r="G25" s="20">
        <f>E19*C10</f>
        <v/>
      </c>
    </row>
    <row r="26">
      <c r="A26" t="inlineStr">
        <is>
          <t>Pre-money shares = pre-money valuation ÷ price</t>
        </is>
      </c>
      <c r="C26" s="21">
        <f>C7/C10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Project Kestrel — Round &amp; valuation summary</t>
        </is>
      </c>
    </row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</t>
        </is>
      </c>
    </row>
    <row r="4">
      <c r="A4" s="5" t="inlineStr">
        <is>
          <t>Pre-money valuation</t>
        </is>
      </c>
      <c r="B4" s="20" t="n">
        <v>60000000</v>
      </c>
      <c r="C4" t="inlineStr">
        <is>
          <t>Agreed in Term Sheet (23 Jan 2026)</t>
        </is>
      </c>
    </row>
    <row r="5">
      <c r="A5" s="5" t="inlineStr">
        <is>
          <t>New money invested (Series B)</t>
        </is>
      </c>
      <c r="B5" s="20" t="n">
        <v>20000000</v>
      </c>
      <c r="C5" t="inlineStr">
        <is>
          <t>Ravensworth Ventures LLP</t>
        </is>
      </c>
    </row>
    <row r="6">
      <c r="A6" s="5" t="inlineStr">
        <is>
          <t>Post-money valuation</t>
        </is>
      </c>
      <c r="B6" s="20">
        <f>B3+B4</f>
        <v/>
      </c>
      <c r="C6">
        <f> pre-money + new money</f>
        <v/>
      </c>
    </row>
    <row r="7">
      <c r="A7" s="5" t="inlineStr">
        <is>
          <t>Price per Series B share</t>
        </is>
      </c>
      <c r="B7" s="22" t="n">
        <v>10</v>
      </c>
      <c r="C7" t="inlineStr">
        <is>
          <t>£ per share</t>
        </is>
      </c>
    </row>
    <row r="8">
      <c r="A8" s="5" t="inlineStr">
        <is>
          <t>Series B shares issued</t>
        </is>
      </c>
      <c r="B8" s="21">
        <f>B4/B6</f>
        <v/>
      </c>
      <c r="C8">
        <f> investment ÷ price</f>
        <v/>
      </c>
    </row>
    <row r="9">
      <c r="A9" s="5" t="inlineStr">
        <is>
          <t>Fully diluted shares (pre)</t>
        </is>
      </c>
      <c r="B9" s="21" t="n">
        <v>6000000</v>
      </c>
      <c r="C9" t="inlineStr">
        <is>
          <t>incl. 600,000 EMI pool</t>
        </is>
      </c>
    </row>
    <row r="10">
      <c r="A10" s="5" t="inlineStr">
        <is>
          <t>Fully diluted shares (post)</t>
        </is>
      </c>
      <c r="B10" s="21">
        <f>B8+B7</f>
        <v/>
      </c>
      <c r="C10" t="inlineStr"/>
    </row>
    <row r="11">
      <c r="A11" s="5" t="inlineStr">
        <is>
          <t>Investor ownership (post)</t>
        </is>
      </c>
      <c r="B11" s="19">
        <f>B7/B9</f>
        <v/>
      </c>
      <c r="C11">
        <f> 25.0%</f>
        <v/>
      </c>
    </row>
    <row r="12">
      <c r="A12" s="5" t="inlineStr">
        <is>
          <t>Founders ownership (post)</t>
        </is>
      </c>
      <c r="B12" s="19">
        <f>(2400000+1800000)/B9</f>
        <v/>
      </c>
      <c r="C12" t="inlineStr"/>
    </row>
    <row r="13">
      <c r="A13" s="5" t="inlineStr">
        <is>
          <t>EMI pool (post)</t>
        </is>
      </c>
      <c r="B13" s="19">
        <f>600000/B9</f>
        <v/>
      </c>
      <c r="C13" t="inlineStr"/>
    </row>
    <row r="14">
      <c r="A14" s="5" t="inlineStr">
        <is>
          <t>Liquidation preference</t>
        </is>
      </c>
      <c r="B14" t="inlineStr">
        <is>
          <t>1.0x</t>
        </is>
      </c>
      <c r="C14" t="inlineStr">
        <is>
          <t>non-participating, Series B ranks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2026-06-10T22:17:01Z</dcterms:created>
  <dcterms:modified xmlns:dcterms="http://purl.org/dc/terms/" xmlns:xsi="http://www.w3.org/2001/XMLSchema-instance" xsi:type="dcterms:W3CDTF">2026-06-10T22:17:01Z</dcterms:modified>
</cp:coreProperties>
</file>