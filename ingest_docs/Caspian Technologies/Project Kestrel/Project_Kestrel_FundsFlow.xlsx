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2E5496"/>
      <sz val="10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46" customWidth="1" min="4" max="4"/>
    <col width="16" customWidth="1" min="5" max="5"/>
  </cols>
  <sheetData>
    <row r="1">
      <c r="A1" s="1" t="inlineStr">
        <is>
          <t>Project Kestrel — Completion Funds Flow Statement</t>
        </is>
      </c>
    </row>
    <row r="2">
      <c r="A2" s="2" t="inlineStr">
        <is>
          <t>Caspian Technologies Limited  |  Series B subscription  |  Completion: 18 March 2026</t>
        </is>
      </c>
    </row>
    <row r="3">
      <c r="A3" s="3" t="inlineStr">
        <is>
          <t>Receiving account: Whitfield Carter LLP Client Account, sort 20-00-00, a/c 4471xxxx (re: Caspian/Kestrel)</t>
        </is>
      </c>
    </row>
    <row r="5">
      <c r="A5" s="4" t="inlineStr">
        <is>
          <t>Item</t>
        </is>
      </c>
      <c r="B5" s="4" t="inlineStr">
        <is>
          <t>Payer</t>
        </is>
      </c>
      <c r="C5" s="4" t="inlineStr">
        <is>
          <t>Payee</t>
        </is>
      </c>
      <c r="D5" s="4" t="inlineStr">
        <is>
          <t>Purpose</t>
        </is>
      </c>
      <c r="E5" s="4" t="inlineStr">
        <is>
          <t>Amount (£)</t>
        </is>
      </c>
    </row>
    <row r="6">
      <c r="A6" s="5" t="n">
        <v>1</v>
      </c>
      <c r="B6" s="5" t="inlineStr">
        <is>
          <t>Ravensworth Ventures LLP</t>
        </is>
      </c>
      <c r="C6" s="5" t="inlineStr">
        <is>
          <t>WC LLP Client A/C (re Caspian)</t>
        </is>
      </c>
      <c r="D6" s="5" t="inlineStr">
        <is>
          <t>Subscription for 2,000,000 Series B Preferred Shares at £10.00</t>
        </is>
      </c>
      <c r="E6" s="6" t="n">
        <v>20000000</v>
      </c>
    </row>
    <row r="7">
      <c r="A7" s="5" t="n">
        <v>2</v>
      </c>
      <c r="B7" s="5" t="inlineStr">
        <is>
          <t>WC LLP Client A/C</t>
        </is>
      </c>
      <c r="C7" s="5" t="inlineStr">
        <is>
          <t>Whitfield Carter LLP</t>
        </is>
      </c>
      <c r="D7" s="5" t="inlineStr">
        <is>
          <t>Company legal fees (incl. VAT and disbursements)</t>
        </is>
      </c>
      <c r="E7" s="6" t="n">
        <v>162000</v>
      </c>
    </row>
    <row r="8">
      <c r="A8" s="5" t="n">
        <v>3</v>
      </c>
      <c r="B8" s="5" t="inlineStr">
        <is>
          <t>WC LLP Client A/C</t>
        </is>
      </c>
      <c r="C8" s="5" t="inlineStr">
        <is>
          <t>Birchall Stone LLP</t>
        </is>
      </c>
      <c r="D8" s="5" t="inlineStr">
        <is>
          <t>Investor legal fees (capped £75,000 + VAT, reimbursed by Company)</t>
        </is>
      </c>
      <c r="E8" s="6" t="n">
        <v>90000</v>
      </c>
    </row>
    <row r="9">
      <c r="A9" s="5" t="n">
        <v>4</v>
      </c>
      <c r="B9" s="5" t="inlineStr">
        <is>
          <t>WC LLP Client A/C</t>
        </is>
      </c>
      <c r="C9" s="5" t="inlineStr">
        <is>
          <t>Marlow Tax &amp; Advisory Ltd</t>
        </is>
      </c>
      <c r="D9" s="5" t="inlineStr">
        <is>
          <t>Financial &amp; tax due diligence fees</t>
        </is>
      </c>
      <c r="E9" s="6" t="n">
        <v>38500</v>
      </c>
    </row>
    <row r="10">
      <c r="A10" s="5" t="n">
        <v>5</v>
      </c>
      <c r="B10" s="5" t="inlineStr">
        <is>
          <t>WC LLP Client A/C</t>
        </is>
      </c>
      <c r="C10" s="5" t="inlineStr">
        <is>
          <t>Companies House / Registry</t>
        </is>
      </c>
      <c r="D10" s="5" t="inlineStr">
        <is>
          <t>Filing fees and share certificate production</t>
        </is>
      </c>
      <c r="E10" s="6" t="n">
        <v>1500</v>
      </c>
    </row>
    <row r="11">
      <c r="A11" s="5" t="n">
        <v>6</v>
      </c>
      <c r="B11" s="5" t="inlineStr">
        <is>
          <t>WC LLP Client A/C</t>
        </is>
      </c>
      <c r="C11" s="5" t="inlineStr">
        <is>
          <t>Caspian Technologies Ltd (operating a/c)</t>
        </is>
      </c>
      <c r="D11" s="5" t="inlineStr">
        <is>
          <t>Net subscription monies released to the Company</t>
        </is>
      </c>
      <c r="E11" s="6">
        <f>E6-SUM(E7:E10)</f>
        <v/>
      </c>
    </row>
    <row r="13">
      <c r="D13" s="7" t="inlineStr">
        <is>
          <t>Subscription monies received</t>
        </is>
      </c>
      <c r="E13" s="6">
        <f>E6</f>
        <v/>
      </c>
    </row>
    <row r="14">
      <c r="D14" t="inlineStr">
        <is>
          <t>Less: transaction costs paid at Completion</t>
        </is>
      </c>
      <c r="E14" s="6">
        <f>-SUM(E7:E10)</f>
        <v/>
      </c>
    </row>
    <row r="15">
      <c r="D15" s="7" t="inlineStr">
        <is>
          <t>Net subscription monies retained by Company</t>
        </is>
      </c>
      <c r="E15" s="6">
        <f>E13+E14</f>
        <v/>
      </c>
    </row>
    <row r="16">
      <c r="D16" t="inlineStr">
        <is>
          <t>Cross-check vs item 6 (net release)</t>
        </is>
      </c>
      <c r="E16" s="6">
        <f>E11-(E13+E14)</f>
        <v/>
      </c>
    </row>
    <row r="18" ht="30" customHeight="1">
      <c r="A18" s="8" t="inlineStr">
        <is>
          <t>Note: All transfers to be made in cleared funds by 12:00 on the Completion Date (18 March 2026). Investor legal fee reimbursement capped at £75,000 plus VAT per the executed Term Sheet dated 23 January 2026; the £90,000 shown is inclusive of VAT at 20%.</t>
        </is>
      </c>
    </row>
  </sheetData>
  <mergeCells count="1"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2026-06-10T22:16:40Z</dcterms:created>
  <dcterms:modified xmlns:dcterms="http://purl.org/dc/terms/" xmlns:xsi="http://www.w3.org/2001/XMLSchema-instance" xsi:type="dcterms:W3CDTF">2026-06-10T22:16:40Z</dcterms:modified>
</cp:coreProperties>
</file>