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ubscription Schedule" sheetId="3" state="visible" r:id="rId5"/>
    <sheet name="TCV Build" sheetId="4" state="visible" r:id="rId6"/>
    <sheet name="Invoicing Schedule" sheetId="5" state="visible" r:id="rId7"/>
    <sheet name="Scenario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<sst xmlns="http://schemas.openxmlformats.org/spreadsheetml/2006/main" count="110" uniqueCount="82">
  <si>
    <t xml:space="preserve">Caspian Technologies Limited  —  Stratton Energy plc</t>
  </si>
  <si>
    <t xml:space="preserve">Enterprise SaaS Pricing Model — Caspian Climate Intelligence Platform</t>
  </si>
  <si>
    <t xml:space="preserve">Matter WC-00109   |   Prepared 8 May 2026   |   Strictly subject to contract</t>
  </si>
  <si>
    <t xml:space="preserve">Metric</t>
  </si>
  <si>
    <t xml:space="preserve">Value</t>
  </si>
  <si>
    <t xml:space="preserve">Annual Subscription Fee (Year 1)</t>
  </si>
  <si>
    <t xml:space="preserve">Annual uplift</t>
  </si>
  <si>
    <t xml:space="preserve">Implementation &amp; Onboarding Fee</t>
  </si>
  <si>
    <t xml:space="preserve">Professional services rate (per day)</t>
  </si>
  <si>
    <t xml:space="preserve">Estimated PS days (Year 1)</t>
  </si>
  <si>
    <t xml:space="preserve">Total Year-1 charges (ex VAT)</t>
  </si>
  <si>
    <t xml:space="preserve">3-year subscription total</t>
  </si>
  <si>
    <t xml:space="preserve">Total Contract Value (TCV)</t>
  </si>
  <si>
    <t xml:space="preserve">Input</t>
  </si>
  <si>
    <t xml:space="preserve">Notes</t>
  </si>
  <si>
    <t xml:space="preserve">Enterprise tier; per heads of terms</t>
  </si>
  <si>
    <t xml:space="preserve">Applied on each Go-Live anniversary</t>
  </si>
  <si>
    <t xml:space="preserve">Implementation &amp; Onboarding Fee (one-off)</t>
  </si>
  <si>
    <t xml:space="preserve">Invoiced on signature</t>
  </si>
  <si>
    <t xml:space="preserve">Drawn down under work orders</t>
  </si>
  <si>
    <t xml:space="preserve">Estimate, not a commitment</t>
  </si>
  <si>
    <t xml:space="preserve">Authorised Users (max)</t>
  </si>
  <si>
    <t xml:space="preserve">Named users</t>
  </si>
  <si>
    <t xml:space="preserve">Initial Term (months)</t>
  </si>
  <si>
    <t xml:space="preserve">From Go-Live (target 1 Jul 2026)</t>
  </si>
  <si>
    <t xml:space="preserve">Payment terms (days)</t>
  </si>
  <si>
    <t xml:space="preserve">Annually in advance</t>
  </si>
  <si>
    <t xml:space="preserve">Liability cap (% of trailing 12m Fees)</t>
  </si>
  <si>
    <t xml:space="preserve">Carve-outs uncapped</t>
  </si>
  <si>
    <t xml:space="preserve">Target monthly availability</t>
  </si>
  <si>
    <t xml:space="preserve">Service Level (SLA Schedule 2)</t>
  </si>
  <si>
    <t xml:space="preserve">VAT rate</t>
  </si>
  <si>
    <t xml:space="preserve">Added on invoicing; excluded from TCV</t>
  </si>
  <si>
    <t xml:space="preserve">Year</t>
  </si>
  <si>
    <t xml:space="preserve">Period</t>
  </si>
  <si>
    <t xml:space="preserve">Uplift applied</t>
  </si>
  <si>
    <t xml:space="preserve">Subscription Fee</t>
  </si>
  <si>
    <t xml:space="preserve">Cumulative</t>
  </si>
  <si>
    <t xml:space="preserve">Go-Live + 0–12m</t>
  </si>
  <si>
    <t xml:space="preserve">—</t>
  </si>
  <si>
    <t xml:space="preserve">Go-Live + 12–24m</t>
  </si>
  <si>
    <t xml:space="preserve">Go-Live + 24–36m</t>
  </si>
  <si>
    <t xml:space="preserve">Component</t>
  </si>
  <si>
    <t xml:space="preserve">Amount</t>
  </si>
  <si>
    <t xml:space="preserve">3-year subscription</t>
  </si>
  <si>
    <t xml:space="preserve">Years 1–3, 5% annual uplift</t>
  </si>
  <si>
    <t xml:space="preserve">Implementation &amp; onboarding</t>
  </si>
  <si>
    <t xml:space="preserve">One-off, on signature</t>
  </si>
  <si>
    <t xml:space="preserve">Professional services (Year 1 est.)</t>
  </si>
  <si>
    <t xml:space="preserve">40 days @ £1,250</t>
  </si>
  <si>
    <t xml:space="preserve">Subscription + implementation + Year-1 PS</t>
  </si>
  <si>
    <t xml:space="preserve">Year-1 charges (for first-year budgeting)</t>
  </si>
  <si>
    <t xml:space="preserve">Subscription (Year 1)</t>
  </si>
  <si>
    <t xml:space="preserve">Total Year-1 charges (inc VAT @ 20%)</t>
  </si>
  <si>
    <t xml:space="preserve">Invoice date</t>
  </si>
  <si>
    <t xml:space="preserve">Description</t>
  </si>
  <si>
    <t xml:space="preserve">Net (£)</t>
  </si>
  <si>
    <t xml:space="preserve">VAT (£)</t>
  </si>
  <si>
    <t xml:space="preserve">Gross (£)</t>
  </si>
  <si>
    <t xml:space="preserve">Due (45d)</t>
  </si>
  <si>
    <t xml:space="preserve">01 Jul 2026</t>
  </si>
  <si>
    <t xml:space="preserve">Implementation &amp; onboarding (one-off)</t>
  </si>
  <si>
    <t xml:space="preserve">15 Aug 2026</t>
  </si>
  <si>
    <t xml:space="preserve">Annual subscription — Year 1</t>
  </si>
  <si>
    <t xml:space="preserve">31 Mar 2027</t>
  </si>
  <si>
    <t xml:space="preserve">Professional services — Year 1 (estimate)</t>
  </si>
  <si>
    <t xml:space="preserve">15 May 2027</t>
  </si>
  <si>
    <t xml:space="preserve">01 Jul 2027</t>
  </si>
  <si>
    <t xml:space="preserve">Annual subscription — Year 2</t>
  </si>
  <si>
    <t xml:space="preserve">15 Aug 2027</t>
  </si>
  <si>
    <t xml:space="preserve">01 Jul 2028</t>
  </si>
  <si>
    <t xml:space="preserve">Annual subscription — Year 3</t>
  </si>
  <si>
    <t xml:space="preserve">15 Aug 2028</t>
  </si>
  <si>
    <t xml:space="preserve">Total over Initial Term</t>
  </si>
  <si>
    <t xml:space="preserve">Net total ex-VAT ties to TCV</t>
  </si>
  <si>
    <t xml:space="preserve">check (=0)</t>
  </si>
  <si>
    <t xml:space="preserve">TCV sensitivity to annual uplift and Year-1 subscription</t>
  </si>
  <si>
    <t xml:space="preserve">Uplift \ Year-1 sub</t>
  </si>
  <si>
    <t xml:space="preserve">£420,000</t>
  </si>
  <si>
    <t xml:space="preserve">£450,000</t>
  </si>
  <si>
    <t xml:space="preserve">£480,000</t>
  </si>
  <si>
    <t xml:space="preserve">Base case (5% uplift, £450,000) shown in centre cell; ties to TCV Build.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</si>
</sst>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;&quot;(£&quot;#,##0\);\-"/>
    <numFmt numFmtId="166" formatCode="0.0%"/>
    <numFmt numFmtId="167" formatCode="0"/>
    <numFmt numFmtId="168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libri"/>
      <family val="0"/>
      <charset val="1"/>
    </font>
    <font>
      <b val="true"/>
      <sz val="11"/>
      <name val="Calibri"/>
      <family val="0"/>
      <charset val="1"/>
    </font>
    <font>
      <i val="true"/>
      <sz val="9"/>
      <color rgb="FF888888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sz val="10"/>
      <name val="Calibri"/>
      <family val="0"/>
      <charset val="1"/>
    </font>
    <font>
      <sz val="10"/>
      <color rgb="FF000000"/>
      <name val="Calibri"/>
      <family val="0"/>
      <charset val="1"/>
    </font>
    <font>
      <b val="true"/>
      <sz val="10"/>
      <name val="Calibri"/>
      <family val="0"/>
      <charset val="1"/>
    </font>
    <font>
      <b val="true"/>
      <sz val="10"/>
      <color rgb="FF000000"/>
      <name val="Calibri"/>
      <family val="0"/>
      <charset val="1"/>
    </font>
    <font>
      <sz val="10"/>
      <color rgb="FF0000FF"/>
      <name val="Calibri"/>
      <family val="0"/>
      <charset val="1"/>
    </font>
    <font>
      <b val="true"/>
      <sz val="10"/>
      <color rgb="FF1F3864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4"/>
  </cols>
  <sheetData>
    <row r="1" customFormat="false" ht="17.3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3" customFormat="false" ht="15" hidden="false" customHeight="false" outlineLevel="0" collapsed="false">
      <c r="B3" s="3" t="s">
        <v>2</v>
      </c>
      <c r="C3" s="3"/>
      <c r="D3" s="3"/>
    </row>
    <row r="5" customFormat="false" ht="15" hidden="false" customHeight="false" outlineLevel="0" collapsed="false">
      <c r="B5" s="4" t="s">
        <v>3</v>
      </c>
      <c r="C5" s="4" t="s">
        <v>4</v>
      </c>
    </row>
    <row r="6" customFormat="false" ht="15" hidden="false" customHeight="false" outlineLevel="0" collapsed="false">
      <c r="B6" s="5" t="s">
        <v>5</v>
      </c>
      <c r="C6" s="6" t="n">
        <f aca="false">Assumptions!$C$6</f>
        <v>450000</v>
      </c>
    </row>
    <row r="7" customFormat="false" ht="15" hidden="false" customHeight="false" outlineLevel="0" collapsed="false">
      <c r="B7" s="5" t="s">
        <v>6</v>
      </c>
      <c r="C7" s="7" t="n">
        <f aca="false">Assumptions!$C$7</f>
        <v>0.05</v>
      </c>
    </row>
    <row r="8" customFormat="false" ht="15" hidden="false" customHeight="false" outlineLevel="0" collapsed="false">
      <c r="B8" s="5" t="s">
        <v>7</v>
      </c>
      <c r="C8" s="6" t="n">
        <f aca="false">Assumptions!$C$8</f>
        <v>85000</v>
      </c>
    </row>
    <row r="9" customFormat="false" ht="15" hidden="false" customHeight="false" outlineLevel="0" collapsed="false">
      <c r="B9" s="5" t="s">
        <v>8</v>
      </c>
      <c r="C9" s="6" t="n">
        <f aca="false">Assumptions!$C$9</f>
        <v>1250</v>
      </c>
    </row>
    <row r="10" customFormat="false" ht="15" hidden="false" customHeight="false" outlineLevel="0" collapsed="false">
      <c r="B10" s="5" t="s">
        <v>9</v>
      </c>
      <c r="C10" s="8" t="n">
        <f aca="false">Assumptions!$C$10</f>
        <v>40</v>
      </c>
    </row>
    <row r="11" customFormat="false" ht="15" hidden="false" customHeight="false" outlineLevel="0" collapsed="false">
      <c r="B11" s="5" t="s">
        <v>10</v>
      </c>
      <c r="C11" s="6" t="n">
        <f aca="false">Assumptions!$C$6+Assumptions!$C$8+Assumptions!$C$9*Assumptions!$C$10</f>
        <v>585000</v>
      </c>
    </row>
    <row r="12" customFormat="false" ht="15" hidden="false" customHeight="false" outlineLevel="0" collapsed="false">
      <c r="B12" s="5" t="s">
        <v>11</v>
      </c>
      <c r="C12" s="6" t="n">
        <f aca="false">'Subscription Schedule'!$E$9</f>
        <v>1418625</v>
      </c>
    </row>
    <row r="13" customFormat="false" ht="15" hidden="false" customHeight="false" outlineLevel="0" collapsed="false">
      <c r="B13" s="9" t="s">
        <v>12</v>
      </c>
      <c r="C13" s="10" t="n">
        <f aca="false">'TCV Build'!$C$9</f>
        <v>1553625</v>
      </c>
    </row>
  </sheetData>
  <mergeCells count="3">
    <mergeCell ref="B1:D1"/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40"/>
  </cols>
  <sheetData>
    <row r="1" customFormat="false" ht="17.3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3" customFormat="false" ht="15" hidden="false" customHeight="false" outlineLevel="0" collapsed="false">
      <c r="B3" s="3" t="s">
        <v>2</v>
      </c>
      <c r="C3" s="3"/>
      <c r="D3" s="3"/>
    </row>
    <row r="5" customFormat="false" ht="15" hidden="false" customHeight="false" outlineLevel="0" collapsed="false">
      <c r="B5" s="4" t="s">
        <v>13</v>
      </c>
      <c r="C5" s="4" t="s">
        <v>4</v>
      </c>
      <c r="D5" s="4" t="s">
        <v>14</v>
      </c>
    </row>
    <row r="6" customFormat="false" ht="15" hidden="false" customHeight="false" outlineLevel="0" collapsed="false">
      <c r="B6" s="5" t="s">
        <v>5</v>
      </c>
      <c r="C6" s="11" t="n">
        <v>450000</v>
      </c>
      <c r="D6" s="12" t="s">
        <v>15</v>
      </c>
    </row>
    <row r="7" customFormat="false" ht="15" hidden="false" customHeight="false" outlineLevel="0" collapsed="false">
      <c r="B7" s="5" t="s">
        <v>6</v>
      </c>
      <c r="C7" s="13" t="n">
        <v>0.05</v>
      </c>
      <c r="D7" s="12" t="s">
        <v>16</v>
      </c>
    </row>
    <row r="8" customFormat="false" ht="15" hidden="false" customHeight="false" outlineLevel="0" collapsed="false">
      <c r="B8" s="5" t="s">
        <v>17</v>
      </c>
      <c r="C8" s="11" t="n">
        <v>85000</v>
      </c>
      <c r="D8" s="12" t="s">
        <v>18</v>
      </c>
    </row>
    <row r="9" customFormat="false" ht="15" hidden="false" customHeight="false" outlineLevel="0" collapsed="false">
      <c r="B9" s="5" t="s">
        <v>8</v>
      </c>
      <c r="C9" s="11" t="n">
        <v>1250</v>
      </c>
      <c r="D9" s="12" t="s">
        <v>19</v>
      </c>
    </row>
    <row r="10" customFormat="false" ht="15" hidden="false" customHeight="false" outlineLevel="0" collapsed="false">
      <c r="B10" s="5" t="s">
        <v>9</v>
      </c>
      <c r="C10" s="14" t="n">
        <v>40</v>
      </c>
      <c r="D10" s="12" t="s">
        <v>20</v>
      </c>
    </row>
    <row r="11" customFormat="false" ht="15" hidden="false" customHeight="false" outlineLevel="0" collapsed="false">
      <c r="B11" s="5" t="s">
        <v>21</v>
      </c>
      <c r="C11" s="14" t="n">
        <v>250</v>
      </c>
      <c r="D11" s="12" t="s">
        <v>22</v>
      </c>
    </row>
    <row r="12" customFormat="false" ht="15" hidden="false" customHeight="false" outlineLevel="0" collapsed="false">
      <c r="B12" s="5" t="s">
        <v>23</v>
      </c>
      <c r="C12" s="14" t="n">
        <v>36</v>
      </c>
      <c r="D12" s="12" t="s">
        <v>24</v>
      </c>
    </row>
    <row r="13" customFormat="false" ht="15" hidden="false" customHeight="false" outlineLevel="0" collapsed="false">
      <c r="B13" s="5" t="s">
        <v>25</v>
      </c>
      <c r="C13" s="14" t="n">
        <v>45</v>
      </c>
      <c r="D13" s="12" t="s">
        <v>26</v>
      </c>
    </row>
    <row r="14" customFormat="false" ht="15" hidden="false" customHeight="false" outlineLevel="0" collapsed="false">
      <c r="B14" s="5" t="s">
        <v>27</v>
      </c>
      <c r="C14" s="13" t="n">
        <v>1.5</v>
      </c>
      <c r="D14" s="12" t="s">
        <v>28</v>
      </c>
    </row>
    <row r="15" customFormat="false" ht="15" hidden="false" customHeight="false" outlineLevel="0" collapsed="false">
      <c r="B15" s="5" t="s">
        <v>29</v>
      </c>
      <c r="C15" s="15" t="n">
        <v>0.998</v>
      </c>
      <c r="D15" s="12" t="s">
        <v>30</v>
      </c>
    </row>
    <row r="16" customFormat="false" ht="15" hidden="false" customHeight="false" outlineLevel="0" collapsed="false">
      <c r="B16" s="5" t="s">
        <v>31</v>
      </c>
      <c r="C16" s="13" t="n">
        <v>0.2</v>
      </c>
      <c r="D16" s="12" t="s">
        <v>32</v>
      </c>
    </row>
  </sheetData>
  <mergeCells count="3">
    <mergeCell ref="B1:D1"/>
    <mergeCell ref="B2:D2"/>
    <mergeCell ref="B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6" min="4" style="0" width="16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</row>
    <row r="5" customFormat="false" ht="15" hidden="false" customHeight="false" outlineLevel="0" collapsed="false">
      <c r="B5" s="4" t="s">
        <v>33</v>
      </c>
      <c r="C5" s="4" t="s">
        <v>34</v>
      </c>
      <c r="D5" s="4" t="s">
        <v>35</v>
      </c>
      <c r="E5" s="4" t="s">
        <v>36</v>
      </c>
      <c r="F5" s="4" t="s">
        <v>37</v>
      </c>
    </row>
    <row r="6" customFormat="false" ht="15" hidden="false" customHeight="false" outlineLevel="0" collapsed="false">
      <c r="B6" s="8" t="n">
        <v>1</v>
      </c>
      <c r="C6" s="5" t="s">
        <v>38</v>
      </c>
      <c r="D6" s="16" t="s">
        <v>39</v>
      </c>
      <c r="E6" s="6" t="n">
        <f aca="false">Assumptions!$C$6</f>
        <v>450000</v>
      </c>
      <c r="F6" s="6" t="n">
        <f aca="false">E6</f>
        <v>450000</v>
      </c>
    </row>
    <row r="7" customFormat="false" ht="15" hidden="false" customHeight="false" outlineLevel="0" collapsed="false">
      <c r="B7" s="8" t="n">
        <v>2</v>
      </c>
      <c r="C7" s="5" t="s">
        <v>40</v>
      </c>
      <c r="D7" s="7" t="n">
        <f aca="false">Assumptions!$C$7</f>
        <v>0.05</v>
      </c>
      <c r="E7" s="6" t="n">
        <f aca="false">E6*(1+Assumptions!$C$7)</f>
        <v>472500</v>
      </c>
      <c r="F7" s="6" t="n">
        <f aca="false">F6+E7</f>
        <v>922500</v>
      </c>
    </row>
    <row r="8" customFormat="false" ht="15" hidden="false" customHeight="false" outlineLevel="0" collapsed="false">
      <c r="B8" s="8" t="n">
        <v>3</v>
      </c>
      <c r="C8" s="5" t="s">
        <v>41</v>
      </c>
      <c r="D8" s="7" t="n">
        <f aca="false">Assumptions!$C$7</f>
        <v>0.05</v>
      </c>
      <c r="E8" s="6" t="n">
        <f aca="false">E7*(1+Assumptions!$C$7)</f>
        <v>496125</v>
      </c>
      <c r="F8" s="6" t="n">
        <f aca="false">F7+E8</f>
        <v>1418625</v>
      </c>
    </row>
    <row r="9" customFormat="false" ht="15" hidden="false" customHeight="false" outlineLevel="0" collapsed="false">
      <c r="B9" s="17" t="s">
        <v>11</v>
      </c>
      <c r="C9" s="17"/>
      <c r="D9" s="17"/>
      <c r="E9" s="10" t="n">
        <f aca="false">SUM(E6:E8)</f>
        <v>1418625</v>
      </c>
      <c r="F9" s="18" t="n">
        <f aca="false">E9</f>
        <v>1418625</v>
      </c>
    </row>
  </sheetData>
  <mergeCells count="4">
    <mergeCell ref="B1:F1"/>
    <mergeCell ref="B2:F2"/>
    <mergeCell ref="B3:F3"/>
    <mergeCell ref="B9:D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8"/>
    <col collapsed="false" customWidth="true" hidden="false" outlineLevel="0" max="4" min="4" style="0" width="44"/>
  </cols>
  <sheetData>
    <row r="1" customFormat="false" ht="17.35" hidden="false" customHeight="false" outlineLevel="0" collapsed="false">
      <c r="B1" s="1" t="s">
        <v>0</v>
      </c>
      <c r="C1" s="1"/>
      <c r="D1" s="1"/>
    </row>
    <row r="2" customFormat="false" ht="15" hidden="false" customHeight="false" outlineLevel="0" collapsed="false">
      <c r="B2" s="2" t="s">
        <v>1</v>
      </c>
      <c r="C2" s="2"/>
      <c r="D2" s="2"/>
    </row>
    <row r="3" customFormat="false" ht="15" hidden="false" customHeight="false" outlineLevel="0" collapsed="false">
      <c r="B3" s="3" t="s">
        <v>2</v>
      </c>
      <c r="C3" s="3"/>
      <c r="D3" s="3"/>
    </row>
    <row r="5" customFormat="false" ht="15" hidden="false" customHeight="false" outlineLevel="0" collapsed="false">
      <c r="B5" s="4" t="s">
        <v>42</v>
      </c>
      <c r="C5" s="4" t="s">
        <v>43</v>
      </c>
      <c r="D5" s="4" t="s">
        <v>14</v>
      </c>
    </row>
    <row r="6" customFormat="false" ht="15" hidden="false" customHeight="false" outlineLevel="0" collapsed="false">
      <c r="B6" s="5" t="s">
        <v>44</v>
      </c>
      <c r="C6" s="6" t="n">
        <f aca="false">'Subscription Schedule'!$E$9</f>
        <v>1418625</v>
      </c>
      <c r="D6" s="12" t="s">
        <v>45</v>
      </c>
    </row>
    <row r="7" customFormat="false" ht="15" hidden="false" customHeight="false" outlineLevel="0" collapsed="false">
      <c r="B7" s="5" t="s">
        <v>46</v>
      </c>
      <c r="C7" s="6" t="n">
        <f aca="false">Assumptions!$C$8</f>
        <v>85000</v>
      </c>
      <c r="D7" s="12" t="s">
        <v>47</v>
      </c>
    </row>
    <row r="8" customFormat="false" ht="15" hidden="false" customHeight="false" outlineLevel="0" collapsed="false">
      <c r="B8" s="5" t="s">
        <v>48</v>
      </c>
      <c r="C8" s="6" t="n">
        <f aca="false">Assumptions!$C$9*Assumptions!$C$10</f>
        <v>50000</v>
      </c>
      <c r="D8" s="12" t="s">
        <v>49</v>
      </c>
    </row>
    <row r="9" customFormat="false" ht="15" hidden="false" customHeight="false" outlineLevel="0" collapsed="false">
      <c r="B9" s="9" t="s">
        <v>12</v>
      </c>
      <c r="C9" s="10" t="n">
        <f aca="false">SUM(C6:C8)</f>
        <v>1553625</v>
      </c>
      <c r="D9" s="19" t="s">
        <v>50</v>
      </c>
    </row>
    <row r="11" customFormat="false" ht="15" hidden="false" customHeight="false" outlineLevel="0" collapsed="false">
      <c r="B11" s="20" t="s">
        <v>51</v>
      </c>
      <c r="C11" s="20"/>
      <c r="D11" s="20"/>
    </row>
    <row r="12" customFormat="false" ht="15" hidden="false" customHeight="false" outlineLevel="0" collapsed="false">
      <c r="B12" s="5" t="s">
        <v>52</v>
      </c>
      <c r="C12" s="6" t="n">
        <f aca="false">Assumptions!$C$6</f>
        <v>450000</v>
      </c>
    </row>
    <row r="13" customFormat="false" ht="15" hidden="false" customHeight="false" outlineLevel="0" collapsed="false">
      <c r="B13" s="5" t="s">
        <v>46</v>
      </c>
      <c r="C13" s="6" t="n">
        <f aca="false">Assumptions!$C$8</f>
        <v>85000</v>
      </c>
    </row>
    <row r="14" customFormat="false" ht="15" hidden="false" customHeight="false" outlineLevel="0" collapsed="false">
      <c r="B14" s="5" t="s">
        <v>48</v>
      </c>
      <c r="C14" s="6" t="n">
        <f aca="false">Assumptions!$C$9*Assumptions!$C$10</f>
        <v>50000</v>
      </c>
    </row>
    <row r="15" customFormat="false" ht="15" hidden="false" customHeight="false" outlineLevel="0" collapsed="false">
      <c r="B15" s="17" t="s">
        <v>10</v>
      </c>
      <c r="C15" s="10" t="n">
        <f aca="false">SUM(C12:C14)</f>
        <v>585000</v>
      </c>
    </row>
    <row r="16" customFormat="false" ht="15" hidden="false" customHeight="false" outlineLevel="0" collapsed="false">
      <c r="B16" s="5" t="s">
        <v>53</v>
      </c>
      <c r="C16" s="6" t="n">
        <f aca="false">C15*(1+Assumptions!$C$16)</f>
        <v>702000</v>
      </c>
    </row>
  </sheetData>
  <mergeCells count="4">
    <mergeCell ref="B1:D1"/>
    <mergeCell ref="B2:D2"/>
    <mergeCell ref="B3:D3"/>
    <mergeCell ref="B11:D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4"/>
    <col collapsed="false" customWidth="true" hidden="false" outlineLevel="0" max="3" min="3" style="0" width="30"/>
    <col collapsed="false" customWidth="true" hidden="false" outlineLevel="0" max="6" min="4" style="0" width="16"/>
    <col collapsed="false" customWidth="true" hidden="false" outlineLevel="0" max="7" min="7" style="0" width="14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  <c r="G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  <c r="G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  <c r="G3" s="3"/>
    </row>
    <row r="5" customFormat="false" ht="15" hidden="false" customHeight="false" outlineLevel="0" collapsed="false">
      <c r="B5" s="4" t="s">
        <v>54</v>
      </c>
      <c r="C5" s="4" t="s">
        <v>55</v>
      </c>
      <c r="D5" s="4" t="s">
        <v>56</v>
      </c>
      <c r="E5" s="4" t="s">
        <v>57</v>
      </c>
      <c r="F5" s="4" t="s">
        <v>58</v>
      </c>
      <c r="G5" s="4" t="s">
        <v>59</v>
      </c>
    </row>
    <row r="6" customFormat="false" ht="15" hidden="false" customHeight="false" outlineLevel="0" collapsed="false">
      <c r="B6" s="5" t="s">
        <v>60</v>
      </c>
      <c r="C6" s="5" t="s">
        <v>61</v>
      </c>
      <c r="D6" s="6" t="n">
        <f aca="false">Assumptions!$C$8</f>
        <v>85000</v>
      </c>
      <c r="E6" s="6" t="n">
        <f aca="false">D6*Assumptions!$C$16</f>
        <v>17000</v>
      </c>
      <c r="F6" s="6" t="n">
        <f aca="false">D6+E6</f>
        <v>102000</v>
      </c>
      <c r="G6" s="16" t="s">
        <v>62</v>
      </c>
    </row>
    <row r="7" customFormat="false" ht="15" hidden="false" customHeight="false" outlineLevel="0" collapsed="false">
      <c r="B7" s="5" t="s">
        <v>60</v>
      </c>
      <c r="C7" s="5" t="s">
        <v>63</v>
      </c>
      <c r="D7" s="6" t="n">
        <f aca="false">Assumptions!$C$6</f>
        <v>450000</v>
      </c>
      <c r="E7" s="6" t="n">
        <f aca="false">D7*Assumptions!$C$16</f>
        <v>90000</v>
      </c>
      <c r="F7" s="6" t="n">
        <f aca="false">D7+E7</f>
        <v>540000</v>
      </c>
      <c r="G7" s="16" t="s">
        <v>62</v>
      </c>
    </row>
    <row r="8" customFormat="false" ht="15" hidden="false" customHeight="false" outlineLevel="0" collapsed="false">
      <c r="B8" s="5" t="s">
        <v>64</v>
      </c>
      <c r="C8" s="5" t="s">
        <v>65</v>
      </c>
      <c r="D8" s="6" t="n">
        <f aca="false">Assumptions!$C$9*Assumptions!$C$10</f>
        <v>50000</v>
      </c>
      <c r="E8" s="6" t="n">
        <f aca="false">D8*Assumptions!$C$16</f>
        <v>10000</v>
      </c>
      <c r="F8" s="6" t="n">
        <f aca="false">D8+E8</f>
        <v>60000</v>
      </c>
      <c r="G8" s="16" t="s">
        <v>66</v>
      </c>
    </row>
    <row r="9" customFormat="false" ht="15" hidden="false" customHeight="false" outlineLevel="0" collapsed="false">
      <c r="B9" s="5" t="s">
        <v>67</v>
      </c>
      <c r="C9" s="5" t="s">
        <v>68</v>
      </c>
      <c r="D9" s="6" t="n">
        <f aca="false">'Subscription Schedule'!$E$7</f>
        <v>472500</v>
      </c>
      <c r="E9" s="6" t="n">
        <f aca="false">D9*Assumptions!$C$16</f>
        <v>94500</v>
      </c>
      <c r="F9" s="6" t="n">
        <f aca="false">D9+E9</f>
        <v>567000</v>
      </c>
      <c r="G9" s="16" t="s">
        <v>69</v>
      </c>
    </row>
    <row r="10" customFormat="false" ht="15" hidden="false" customHeight="false" outlineLevel="0" collapsed="false">
      <c r="B10" s="5" t="s">
        <v>70</v>
      </c>
      <c r="C10" s="5" t="s">
        <v>71</v>
      </c>
      <c r="D10" s="6" t="n">
        <f aca="false">'Subscription Schedule'!$E$8</f>
        <v>496125</v>
      </c>
      <c r="E10" s="6" t="n">
        <f aca="false">D10*Assumptions!$C$16</f>
        <v>99225</v>
      </c>
      <c r="F10" s="6" t="n">
        <f aca="false">D10+E10</f>
        <v>595350</v>
      </c>
      <c r="G10" s="16" t="s">
        <v>72</v>
      </c>
    </row>
    <row r="11" customFormat="false" ht="15" hidden="false" customHeight="false" outlineLevel="0" collapsed="false">
      <c r="C11" s="17" t="s">
        <v>73</v>
      </c>
      <c r="D11" s="10" t="n">
        <f aca="false">SUM(D6:D10)</f>
        <v>1553625</v>
      </c>
      <c r="E11" s="10" t="n">
        <f aca="false">SUM(E6:E10)</f>
        <v>310725</v>
      </c>
      <c r="F11" s="10" t="n">
        <f aca="false">SUM(F6:F10)</f>
        <v>1864350</v>
      </c>
    </row>
    <row r="12" customFormat="false" ht="15" hidden="false" customHeight="false" outlineLevel="0" collapsed="false">
      <c r="C12" s="21" t="s">
        <v>74</v>
      </c>
      <c r="D12" s="6" t="n">
        <f aca="false">D11-'TCV Build'!$C$9</f>
        <v>0</v>
      </c>
      <c r="E12" s="21" t="s">
        <v>75</v>
      </c>
    </row>
  </sheetData>
  <mergeCells count="3">
    <mergeCell ref="B1:G1"/>
    <mergeCell ref="B2:G2"/>
    <mergeCell ref="B3:G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8"/>
    <col collapsed="false" customWidth="true" hidden="false" outlineLevel="0" max="6" min="3" style="0" width="16"/>
  </cols>
  <sheetData>
    <row r="1" customFormat="false" ht="17.35" hidden="false" customHeight="false" outlineLevel="0" collapsed="false">
      <c r="B1" s="1" t="s">
        <v>0</v>
      </c>
      <c r="C1" s="1"/>
      <c r="D1" s="1"/>
      <c r="E1" s="1"/>
      <c r="F1" s="1"/>
    </row>
    <row r="2" customFormat="false" ht="15" hidden="false" customHeight="false" outlineLevel="0" collapsed="false">
      <c r="B2" s="2" t="s">
        <v>1</v>
      </c>
      <c r="C2" s="2"/>
      <c r="D2" s="2"/>
      <c r="E2" s="2"/>
      <c r="F2" s="2"/>
    </row>
    <row r="3" customFormat="false" ht="15" hidden="false" customHeight="false" outlineLevel="0" collapsed="false">
      <c r="B3" s="3" t="s">
        <v>2</v>
      </c>
      <c r="C3" s="3"/>
      <c r="D3" s="3"/>
      <c r="E3" s="3"/>
      <c r="F3" s="3"/>
    </row>
    <row r="5" customFormat="false" ht="15" hidden="false" customHeight="false" outlineLevel="0" collapsed="false">
      <c r="B5" s="22" t="s">
        <v>76</v>
      </c>
    </row>
    <row r="7" customFormat="false" ht="15" hidden="false" customHeight="false" outlineLevel="0" collapsed="false">
      <c r="B7" s="4" t="s">
        <v>77</v>
      </c>
      <c r="C7" s="4" t="s">
        <v>78</v>
      </c>
      <c r="D7" s="4" t="s">
        <v>79</v>
      </c>
      <c r="E7" s="4" t="s">
        <v>80</v>
      </c>
    </row>
    <row r="8" customFormat="false" ht="15" hidden="false" customHeight="false" outlineLevel="0" collapsed="false">
      <c r="B8" s="23" t="n">
        <v>0.03</v>
      </c>
      <c r="C8" s="6" t="n">
        <f aca="false">420000*(1+(1+0.03)+(1+0.03)^2)+Assumptions!$C$8+Assumptions!$C$9*Assumptions!$C$10</f>
        <v>1433178</v>
      </c>
      <c r="D8" s="6" t="n">
        <f aca="false">450000*(1+(1+0.03)+(1+0.03)^2)+Assumptions!$C$8+Assumptions!$C$9*Assumptions!$C$10</f>
        <v>1525905</v>
      </c>
      <c r="E8" s="6" t="n">
        <f aca="false">480000*(1+(1+0.03)+(1+0.03)^2)+Assumptions!$C$8+Assumptions!$C$9*Assumptions!$C$10</f>
        <v>1618632</v>
      </c>
    </row>
    <row r="9" customFormat="false" ht="15" hidden="false" customHeight="false" outlineLevel="0" collapsed="false">
      <c r="B9" s="23" t="n">
        <v>0.05</v>
      </c>
      <c r="C9" s="6" t="n">
        <f aca="false">420000*(1+(1+0.05)+(1+0.05)^2)+Assumptions!$C$8+Assumptions!$C$9*Assumptions!$C$10</f>
        <v>1459050</v>
      </c>
      <c r="D9" s="6" t="n">
        <f aca="false">450000*(1+(1+0.05)+(1+0.05)^2)+Assumptions!$C$8+Assumptions!$C$9*Assumptions!$C$10</f>
        <v>1553625</v>
      </c>
      <c r="E9" s="6" t="n">
        <f aca="false">480000*(1+(1+0.05)+(1+0.05)^2)+Assumptions!$C$8+Assumptions!$C$9*Assumptions!$C$10</f>
        <v>1648200</v>
      </c>
    </row>
    <row r="10" customFormat="false" ht="15" hidden="false" customHeight="false" outlineLevel="0" collapsed="false">
      <c r="B10" s="23" t="n">
        <v>0.07</v>
      </c>
      <c r="C10" s="6" t="n">
        <f aca="false">420000*(1+(1+0.07)+(1+0.07)^2)+Assumptions!$C$8+Assumptions!$C$9*Assumptions!$C$10</f>
        <v>1485258</v>
      </c>
      <c r="D10" s="6" t="n">
        <f aca="false">450000*(1+(1+0.07)+(1+0.07)^2)+Assumptions!$C$8+Assumptions!$C$9*Assumptions!$C$10</f>
        <v>1581705</v>
      </c>
      <c r="E10" s="6" t="n">
        <f aca="false">480000*(1+(1+0.07)+(1+0.07)^2)+Assumptions!$C$8+Assumptions!$C$9*Assumptions!$C$10</f>
        <v>1678152</v>
      </c>
    </row>
    <row r="12" customFormat="false" ht="15" hidden="false" customHeight="false" outlineLevel="0" collapsed="false">
      <c r="B12" s="21" t="s">
        <v>81</v>
      </c>
    </row>
  </sheetData>
  <mergeCells count="3">
    <mergeCell ref="B1:F1"/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2026-06-10T23:18:36Z</dcterms:created>
  <dc:creator>openpyxl</dc:creator>
  <dc:description/>
  <dc:language>en-US</dc:language>
  <cp:lastModifiedBy/>
  <dcterms:modified xsi:type="dcterms:W3CDTF">2026-06-10T23:18:36Z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