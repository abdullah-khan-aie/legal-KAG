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hedule of Loss" sheetId="1" state="visible" r:id="rId1"/>
  </sheets>
  <definedNames/>
  <calcPr calcId="124519" fullCalcOnLoad="1"/>
</workbook>
</file>

<file path=xl/styles.xml><?xml version="1.0" encoding="utf-8"?>
<styleSheet xmlns="http://schemas.openxmlformats.org/spreadsheetml/2006/main">
  <numFmts count="1">
    <numFmt numFmtId="164" formatCode="£#,##0;[Red]-£#,##0"/>
  </numFmts>
  <fonts count="8">
    <font>
      <name val="Calibri"/>
      <family val="2"/>
      <color theme="1"/>
      <sz val="11"/>
      <scheme val="minor"/>
    </font>
    <font>
      <name val="Calibri"/>
      <b val="1"/>
      <color rgb="FF2E4A7B"/>
      <sz val="14"/>
    </font>
    <font>
      <name val="Calibri"/>
      <i val="1"/>
      <color rgb="FF888888"/>
      <sz val="9"/>
    </font>
    <font>
      <name val="Calibri"/>
      <b val="1"/>
    </font>
    <font>
      <name val="Calibri"/>
      <b val="1"/>
      <color rgb="FFFFFFFF"/>
      <sz val="11"/>
    </font>
    <font>
      <i val="1"/>
    </font>
    <font>
      <b val="1"/>
      <sz val="12"/>
    </font>
    <font>
      <b val="1"/>
      <color rgb="FF2E4A7B"/>
      <sz val="12"/>
    </font>
  </fonts>
  <fills count="4">
    <fill>
      <patternFill/>
    </fill>
    <fill>
      <patternFill patternType="gray125"/>
    </fill>
    <fill>
      <patternFill patternType="solid">
        <fgColor rgb="FF2E4A7B"/>
      </patternFill>
    </fill>
    <fill>
      <patternFill patternType="solid">
        <fgColor rgb="FFEEF2F8"/>
      </patternFill>
    </fill>
  </fills>
  <borders count="2">
    <border>
      <left/>
      <right/>
      <top/>
      <bottom/>
      <diagonal/>
    </border>
    <border>
      <left style="thin">
        <color rgb="FFBBBBBB"/>
      </left>
      <right style="thin">
        <color rgb="FFBBBBBB"/>
      </right>
      <top style="thin">
        <color rgb="FFBBBBBB"/>
      </top>
      <bottom style="thin">
        <color rgb="FFBBBBBB"/>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164" fontId="0" fillId="0" borderId="0" pivotButton="0" quotePrefix="0" xfId="0"/>
    <xf numFmtId="1" fontId="0" fillId="0" borderId="0" pivotButton="0" quotePrefix="0" xfId="0"/>
    <xf numFmtId="9" fontId="0" fillId="0" borderId="0" pivotButton="0" quotePrefix="0" xfId="0"/>
    <xf numFmtId="0" fontId="4" fillId="2" borderId="1" applyAlignment="1" pivotButton="0" quotePrefix="0" xfId="0">
      <alignment horizontal="center" vertical="center" wrapText="1"/>
    </xf>
    <xf numFmtId="0" fontId="0" fillId="0" borderId="1" pivotButton="0" quotePrefix="0" xfId="0"/>
    <xf numFmtId="164" fontId="0" fillId="0" borderId="1" pivotButton="0" quotePrefix="0" xfId="0"/>
    <xf numFmtId="164" fontId="3" fillId="3" borderId="0" pivotButton="0" quotePrefix="0" xfId="0"/>
    <xf numFmtId="0" fontId="5" fillId="0" borderId="0" pivotButton="0" quotePrefix="0" xfId="0"/>
    <xf numFmtId="0" fontId="6" fillId="0" borderId="0" pivotButton="0" quotePrefix="0" xfId="0"/>
    <xf numFmtId="164" fontId="7" fillId="3" borderId="0" pivotButton="0" quotePrefix="0" xfId="0"/>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showGridLines="0" workbookViewId="0">
      <selection activeCell="A1" sqref="A1"/>
    </sheetView>
  </sheetViews>
  <sheetFormatPr baseColWidth="8" defaultRowHeight="15"/>
  <cols>
    <col width="46" customWidth="1" min="1" max="1"/>
    <col width="34" customWidth="1" min="2" max="2"/>
    <col width="16" customWidth="1" min="3" max="3"/>
  </cols>
  <sheetData>
    <row r="1">
      <c r="A1" s="1" t="inlineStr">
        <is>
          <t>Gareth Hollis v Caspian Technologies Limited</t>
        </is>
      </c>
    </row>
    <row r="2">
      <c r="A2" s="2" t="inlineStr">
        <is>
          <t>Schedule of Loss (claimant) — prepared by Ashworth Quinn LLP for negotiation purposes</t>
        </is>
      </c>
    </row>
    <row r="3">
      <c r="A3" s="2" t="inlineStr">
        <is>
          <t>Effective date of termination: 31 January 2026   |   Gross annual salary: £190,000   |   Net monthly: £9,180</t>
        </is>
      </c>
    </row>
    <row r="5">
      <c r="A5" s="3" t="inlineStr">
        <is>
          <t>Key assumptions</t>
        </is>
      </c>
    </row>
    <row r="6">
      <c r="A6" t="inlineStr">
        <is>
          <t>Gross annual salary</t>
        </is>
      </c>
      <c r="B6" s="4" t="n">
        <v>190000</v>
      </c>
    </row>
    <row r="7">
      <c r="A7" t="inlineStr">
        <is>
          <t>Gross monthly salary</t>
        </is>
      </c>
      <c r="B7" s="4">
        <f>B6/12</f>
        <v/>
      </c>
    </row>
    <row r="8">
      <c r="A8" t="inlineStr">
        <is>
          <t>Net monthly salary (approx.)</t>
        </is>
      </c>
      <c r="B8" s="4" t="n">
        <v>9180</v>
      </c>
    </row>
    <row r="9">
      <c r="A9" t="inlineStr">
        <is>
          <t>Age at EDT</t>
        </is>
      </c>
      <c r="B9" s="5" t="n">
        <v>46</v>
      </c>
    </row>
    <row r="10">
      <c r="A10" t="inlineStr">
        <is>
          <t>Complete years' service</t>
        </is>
      </c>
      <c r="B10" s="5" t="n">
        <v>4</v>
      </c>
    </row>
    <row r="11">
      <c r="A11" t="inlineStr">
        <is>
          <t>Pension employer contribution (% salary)</t>
        </is>
      </c>
      <c r="B11" s="6" t="n">
        <v>0.06</v>
      </c>
    </row>
    <row r="13">
      <c r="A13" s="7" t="inlineStr">
        <is>
          <t>Head of loss</t>
        </is>
      </c>
      <c r="B13" s="7" t="inlineStr">
        <is>
          <t>Basis</t>
        </is>
      </c>
      <c r="C13" s="7" t="inlineStr">
        <is>
          <t>Amount</t>
        </is>
      </c>
    </row>
    <row r="14">
      <c r="A14" s="8" t="inlineStr">
        <is>
          <t>1. Basic award (statutory)</t>
        </is>
      </c>
      <c r="B14" s="8" t="inlineStr">
        <is>
          <t>4 yrs x 1.5 wk x capped wk £700</t>
        </is>
      </c>
      <c r="C14" s="9" t="n">
        <v>4200</v>
      </c>
    </row>
    <row r="15">
      <c r="A15" s="8" t="inlineStr">
        <is>
          <t>2. Loss of statutory rights</t>
        </is>
      </c>
      <c r="B15" s="8" t="inlineStr">
        <is>
          <t>Conventional award</t>
        </is>
      </c>
      <c r="C15" s="9" t="n">
        <v>500</v>
      </c>
    </row>
    <row r="16">
      <c r="A16" s="8" t="inlineStr">
        <is>
          <t>3. Past loss of earnings (net)</t>
        </is>
      </c>
      <c r="B16" s="8" t="inlineStr">
        <is>
          <t>3 months to date of hearing</t>
        </is>
      </c>
      <c r="C16" s="9">
        <f>9180*3</f>
        <v/>
      </c>
    </row>
    <row r="17">
      <c r="A17" s="8" t="inlineStr">
        <is>
          <t>4. Future loss of earnings (net)</t>
        </is>
      </c>
      <c r="B17" s="8" t="inlineStr">
        <is>
          <t>9 months @ net monthly</t>
        </is>
      </c>
      <c r="C17" s="9">
        <f>9180*9</f>
        <v/>
      </c>
    </row>
    <row r="18">
      <c r="A18" s="8" t="inlineStr">
        <is>
          <t>5. Loss of pension contributions</t>
        </is>
      </c>
      <c r="B18" s="8" t="inlineStr">
        <is>
          <t>12 months @ 6% of gross</t>
        </is>
      </c>
      <c r="C18" s="9">
        <f>190000*0.06</f>
        <v/>
      </c>
    </row>
    <row r="19">
      <c r="A19" s="8" t="inlineStr">
        <is>
          <t>6. Loss of benefits (PMI, PHI, options value)</t>
        </is>
      </c>
      <c r="B19" s="8" t="inlineStr">
        <is>
          <t>Estimated</t>
        </is>
      </c>
      <c r="C19" s="9" t="n">
        <v>6500</v>
      </c>
    </row>
    <row r="20">
      <c r="A20" s="8" t="inlineStr">
        <is>
          <t>7. Bonus for FY to 31 Oct 2025 (gross)</t>
        </is>
      </c>
      <c r="B20" s="8" t="inlineStr">
        <is>
          <t>Pro-rated, unpaid</t>
        </is>
      </c>
      <c r="C20" s="9" t="n">
        <v>14250</v>
      </c>
    </row>
    <row r="21">
      <c r="A21" s="8" t="inlineStr">
        <is>
          <t>8. Injury to feelings (Vento middle band)</t>
        </is>
      </c>
      <c r="B21" s="8" t="inlineStr">
        <is>
          <t>Protected disclosure detriment</t>
        </is>
      </c>
      <c r="C21" s="9" t="n">
        <v>30000</v>
      </c>
    </row>
    <row r="22">
      <c r="A22" s="3" t="inlineStr">
        <is>
          <t>Sub-total (before grossing-up / interest)</t>
        </is>
      </c>
      <c r="C22" s="10">
        <f>SUM(C14:C21)</f>
        <v/>
      </c>
    </row>
    <row r="23">
      <c r="A23" s="11" t="inlineStr">
        <is>
          <t>Grossing-up adjustment on taxable elements (est.)</t>
        </is>
      </c>
      <c r="C23" s="4">
        <f>ROUND((C16+C17)*0.18,0)</f>
        <v/>
      </c>
    </row>
    <row r="24">
      <c r="A24" s="12" t="inlineStr">
        <is>
          <t>TOTAL CLAIM (claimant's pleaded figure)</t>
        </is>
      </c>
      <c r="C24" s="13">
        <f>C22+C23</f>
        <v/>
      </c>
    </row>
    <row r="26">
      <c r="A26" s="14" t="inlineStr">
        <is>
          <t>Note: This schedule is the claimant's negotiating position. The respondent does not admit liability or any of these heads. The settlement ultimately agreed (see Settlement Computation) reflects litigation risk and is lower than the pleaded total.</t>
        </is>
      </c>
    </row>
  </sheetData>
  <mergeCells count="1">
    <mergeCell ref="A26:C2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2026-06-28T19:42:51Z</dcterms:created>
  <dcterms:modified xmlns:dcterms="http://purl.org/dc/terms/" xmlns:xsi="http://www.w3.org/2001/XMLSchema-instance" xsi:type="dcterms:W3CDTF">2026-06-28T19:42:51Z</dcterms:modified>
</cp:coreProperties>
</file>