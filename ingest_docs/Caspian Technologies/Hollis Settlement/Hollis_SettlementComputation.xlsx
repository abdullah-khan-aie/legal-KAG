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lement Compu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£#,##0;[Red]-£#,##0"/>
  </numFmts>
  <fonts count="7">
    <font>
      <name val="Calibri"/>
      <family val="2"/>
      <color theme="1"/>
      <sz val="11"/>
      <scheme val="minor"/>
    </font>
    <font>
      <name val="Calibri"/>
      <b val="1"/>
      <color rgb="FF2E4A7B"/>
      <sz val="14"/>
    </font>
    <font>
      <name val="Calibri"/>
      <i val="1"/>
      <color rgb="FF888888"/>
      <sz val="9"/>
    </font>
    <font>
      <name val="Calibri"/>
      <b val="1"/>
      <color rgb="FFFFFFFF"/>
      <sz val="11"/>
    </font>
    <font>
      <name val="Calibri"/>
      <b val="1"/>
    </font>
    <font>
      <b val="1"/>
      <sz val="12"/>
    </font>
    <font>
      <b val="1"/>
      <color rgb="FF2E4A7B"/>
      <sz val="12"/>
    </font>
  </fonts>
  <fills count="4">
    <fill>
      <patternFill/>
    </fill>
    <fill>
      <patternFill patternType="gray125"/>
    </fill>
    <fill>
      <patternFill patternType="solid">
        <fgColor rgb="FF2E4A7B"/>
      </patternFill>
    </fill>
    <fill>
      <patternFill patternType="solid">
        <fgColor rgb="FFEEF2F8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  <xf numFmtId="0" fontId="4" fillId="3" borderId="1" pivotButton="0" quotePrefix="0" xfId="0"/>
    <xf numFmtId="164" fontId="4" fillId="3" borderId="1" pivotButton="0" quotePrefix="0" xfId="0"/>
    <xf numFmtId="0" fontId="4" fillId="0" borderId="0" pivotButton="0" quotePrefix="0" xfId="0"/>
    <xf numFmtId="164" fontId="0" fillId="0" borderId="0" pivotButton="0" quotePrefix="0" xfId="0"/>
    <xf numFmtId="0" fontId="5" fillId="0" borderId="0" pivotButton="0" quotePrefix="0" xfId="0"/>
    <xf numFmtId="164" fontId="6" fillId="3" borderId="0" pivotButton="0" quotePrefix="0" xfId="0"/>
    <xf numFmtId="0" fontId="2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showGridLines="0" workbookViewId="0">
      <selection activeCell="A1" sqref="A1"/>
    </sheetView>
  </sheetViews>
  <sheetFormatPr baseColWidth="8" defaultRowHeight="15"/>
  <cols>
    <col width="48" customWidth="1" min="1" max="1"/>
    <col width="15" customWidth="1" min="2" max="2"/>
    <col width="22" customWidth="1" min="3" max="3"/>
    <col width="16" customWidth="1" min="4" max="4"/>
    <col width="18" customWidth="1" min="5" max="5"/>
  </cols>
  <sheetData>
    <row r="1">
      <c r="A1" s="1" t="inlineStr">
        <is>
          <t>Caspian / Hollis Settlement — Payment &amp; Tax Computation</t>
        </is>
      </c>
    </row>
    <row r="2">
      <c r="A2" s="2" t="inlineStr">
        <is>
          <t>Matter WC-00167  |  Reflects executed Settlement Agreement dated 30 January 2026</t>
        </is>
      </c>
    </row>
    <row r="3">
      <c r="A3" s="2" t="inlineStr">
        <is>
          <t>Tax assumed at marginal rate 45% on amounts over £30,000 free-of-tax band; NIC at 2% on PILON/bonus.</t>
        </is>
      </c>
    </row>
    <row r="5">
      <c r="A5" s="3" t="inlineStr">
        <is>
          <t>Element</t>
        </is>
      </c>
      <c r="B5" s="3" t="inlineStr">
        <is>
          <t>Gross (£)</t>
        </is>
      </c>
      <c r="C5" s="3" t="inlineStr">
        <is>
          <t>Taxable?</t>
        </is>
      </c>
      <c r="D5" s="3" t="inlineStr">
        <is>
          <t>Tax / NIC (£)</t>
        </is>
      </c>
      <c r="E5" s="3" t="inlineStr">
        <is>
          <t>Net to employee (£)</t>
        </is>
      </c>
    </row>
    <row r="6">
      <c r="A6" s="4" t="inlineStr">
        <is>
          <t>Payment in lieu of notice (6 months)</t>
        </is>
      </c>
      <c r="B6" s="5" t="n">
        <v>95000</v>
      </c>
      <c r="C6" s="4" t="inlineStr">
        <is>
          <t>Yes (tax + NIC)</t>
        </is>
      </c>
      <c r="D6" s="5">
        <f>B6*0.45+B6*0.02</f>
        <v/>
      </c>
      <c r="E6" s="5">
        <f>B6-D6</f>
        <v/>
      </c>
    </row>
    <row r="7">
      <c r="A7" s="4" t="inlineStr">
        <is>
          <t>Statutory redundancy payment</t>
        </is>
      </c>
      <c r="B7" s="5" t="n">
        <v>8400</v>
      </c>
      <c r="C7" s="4" t="inlineStr">
        <is>
          <t>No (within £30k)</t>
        </is>
      </c>
      <c r="D7" s="5" t="n">
        <v>0</v>
      </c>
      <c r="E7" s="5">
        <f>B7-D7</f>
        <v/>
      </c>
    </row>
    <row r="8">
      <c r="A8" s="4" t="inlineStr">
        <is>
          <t>Ex gratia compensation payment</t>
        </is>
      </c>
      <c r="B8" s="5" t="n">
        <v>90000</v>
      </c>
      <c r="C8" s="4" t="inlineStr">
        <is>
          <t>Part (over £30k band)</t>
        </is>
      </c>
      <c r="D8" s="5">
        <f>(B8-(30000-B7))*0.45</f>
        <v/>
      </c>
      <c r="E8" s="5">
        <f>B8-D8</f>
        <v/>
      </c>
    </row>
    <row r="9">
      <c r="A9" s="4" t="inlineStr">
        <is>
          <t>Pro-rated bonus FY to 31 Oct 2025</t>
        </is>
      </c>
      <c r="B9" s="5" t="n">
        <v>14250</v>
      </c>
      <c r="C9" s="4" t="inlineStr">
        <is>
          <t>Yes (tax + NIC)</t>
        </is>
      </c>
      <c r="D9" s="5">
        <f>B9*0.45+B9*0.02</f>
        <v/>
      </c>
      <c r="E9" s="5">
        <f>B9-D9</f>
        <v/>
      </c>
    </row>
    <row r="10">
      <c r="A10" s="4" t="inlineStr">
        <is>
          <t>Accrued holiday (11.5 days) — within PILON calc</t>
        </is>
      </c>
      <c r="B10" s="5" t="n">
        <v>0</v>
      </c>
      <c r="C10" s="4" t="inlineStr">
        <is>
          <t>n/a</t>
        </is>
      </c>
      <c r="D10" s="5" t="n">
        <v>0</v>
      </c>
      <c r="E10" s="5" t="n">
        <v>0</v>
      </c>
    </row>
    <row r="11">
      <c r="A11" s="6" t="inlineStr">
        <is>
          <t>TOTALS</t>
        </is>
      </c>
      <c r="B11" s="7">
        <f>SUM(B6:B10)</f>
        <v/>
      </c>
      <c r="D11" s="7">
        <f>SUM(D6:D10)</f>
        <v/>
      </c>
      <c r="E11" s="7">
        <f>SUM(E6:E10)</f>
        <v/>
      </c>
    </row>
    <row r="13">
      <c r="A13" s="8" t="inlineStr">
        <is>
          <t>Other payments (outside taxable total above)</t>
        </is>
      </c>
    </row>
    <row r="14">
      <c r="A14" t="inlineStr">
        <is>
          <t>Employer's contribution to claimant's legal costs (plus VAT)</t>
        </is>
      </c>
      <c r="B14" s="9" t="n">
        <v>750</v>
      </c>
      <c r="C14" t="inlineStr">
        <is>
          <t>Paid to Ashworth Quinn LLP</t>
        </is>
      </c>
    </row>
    <row r="15">
      <c r="A15" t="inlineStr">
        <is>
          <t>Consideration for restrictive covenant variation</t>
        </is>
      </c>
      <c r="B15" s="9" t="n">
        <v>200</v>
      </c>
    </row>
    <row r="17">
      <c r="A17" s="10" t="inlineStr">
        <is>
          <t>Total gross cost to Company (incl. costs &amp; covenant consideration)</t>
        </is>
      </c>
      <c r="B17" s="11">
        <f>B11+B14+B15</f>
        <v/>
      </c>
    </row>
    <row r="19">
      <c r="A19" s="12" t="inlineStr">
        <is>
          <t>Authority position: settlement authority to £215,000 gross on the core taxable package (PILON + redundancy + ex gratia + bonus), per privileged advice note of 28 Nov 2025. Core taxable package = £207,650, within authority. Legal-costs contribution (£750+VAT) and covenant consideration (£200) are additional.</t>
        </is>
      </c>
    </row>
  </sheetData>
  <mergeCells count="1">
    <mergeCell ref="A19:E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2026-06-28T19:42:51Z</dcterms:created>
  <dcterms:modified xmlns:dcterms="http://purl.org/dc/terms/" xmlns:xsi="http://www.w3.org/2001/XMLSchema-instance" xsi:type="dcterms:W3CDTF">2026-06-28T19:42:51Z</dcterms:modified>
</cp:coreProperties>
</file>