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 of Lo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<sst xmlns="http://schemas.openxmlformats.org/spreadsheetml/2006/main" count="49" uniqueCount="46">
  <si>
    <t xml:space="preserve">Caspian Technologies Limited v Harburn Utilities plc — Claim No. CL-2026-000204</t>
  </si>
  <si>
    <t xml:space="preserve">REVISED SCHEDULE OF LOSS (served with Particulars; revised per Counsel's advice 11 March 2026)</t>
  </si>
  <si>
    <t xml:space="preserve">Part 1 — Debt: unpaid invoices</t>
  </si>
  <si>
    <t xml:space="preserve">#</t>
  </si>
  <si>
    <t xml:space="preserve">Invoice / description</t>
  </si>
  <si>
    <t xml:space="preserve">Invoice date</t>
  </si>
  <si>
    <t xml:space="preserve">Due date</t>
  </si>
  <si>
    <t xml:space="preserve">Net (£)</t>
  </si>
  <si>
    <t xml:space="preserve">Status</t>
  </si>
  <si>
    <t xml:space="preserve">INV-2025-0412 — Annual subscription Year 2 (1 Apr 25–31 Mar 26)</t>
  </si>
  <si>
    <t xml:space="preserve">2025-04-01</t>
  </si>
  <si>
    <t xml:space="preserve">2025-05-01</t>
  </si>
  <si>
    <t xml:space="preserve">Unpaid</t>
  </si>
  <si>
    <t xml:space="preserve">INV-2025-0061 — Additional connector module (SCADA ingest)</t>
  </si>
  <si>
    <t xml:space="preserve">2025-02-14</t>
  </si>
  <si>
    <t xml:space="preserve">2025-03-16</t>
  </si>
  <si>
    <t xml:space="preserve">INV-2024-0733 — Implementation fee — final 50% balance</t>
  </si>
  <si>
    <t xml:space="preserve">2024-07-05</t>
  </si>
  <si>
    <t xml:space="preserve">2024-08-04</t>
  </si>
  <si>
    <t xml:space="preserve">INV-2025-0218 — Professional services Q1 2025 (data assurance)</t>
  </si>
  <si>
    <t xml:space="preserve">2025-03-31</t>
  </si>
  <si>
    <t xml:space="preserve">2025-04-30</t>
  </si>
  <si>
    <t xml:space="preserve">Sub-total — debt (unpaid invoices)</t>
  </si>
  <si>
    <t xml:space="preserve">Part 2 — Damages: loss of bargain (unexpired term)</t>
  </si>
  <si>
    <t xml:space="preserve">Annual subscription fee (£/yr)</t>
  </si>
  <si>
    <t xml:space="preserve">Schedule 1, para 4</t>
  </si>
  <si>
    <t xml:space="preserve">Effective date of acceptance of repudiation</t>
  </si>
  <si>
    <t xml:space="preserve">2025-09-01</t>
  </si>
  <si>
    <t xml:space="preserve">Claimant's solicitors' letter</t>
  </si>
  <si>
    <t xml:space="preserve">Initial term expiry</t>
  </si>
  <si>
    <t xml:space="preserve">2027-03-31</t>
  </si>
  <si>
    <t xml:space="preserve">Clause 3.1</t>
  </si>
  <si>
    <t xml:space="preserve">Unexpired months remaining</t>
  </si>
  <si>
    <t xml:space="preserve">19 months: 1 Sep 25 to 31 Mar 27</t>
  </si>
  <si>
    <t xml:space="preserve">Avoided-cost credit (% of subscription)</t>
  </si>
  <si>
    <t xml:space="preserve">Per management accounts; revised from 13%</t>
  </si>
  <si>
    <t xml:space="preserve">Gross lost subscription (unexpired term)</t>
  </si>
  <si>
    <t xml:space="preserve">Less: avoided third-party hosting &amp; support costs</t>
  </si>
  <si>
    <t xml:space="preserve">Net loss of bargain (damages)</t>
  </si>
  <si>
    <t xml:space="preserve">Part 3 — Interest (illustrative, to be updated to judgment)</t>
  </si>
  <si>
    <t xml:space="preserve">Contractual rate (base + 4%), clause 7.5 — assumed base 5.25%</t>
  </si>
  <si>
    <t xml:space="preserve">Clause 7.5</t>
  </si>
  <si>
    <t xml:space="preserve">Approx. days from due/termination to assumed judgment</t>
  </si>
  <si>
    <t xml:space="preserve">Interest on debt + damages (illustrative)</t>
  </si>
  <si>
    <t xml:space="preserve">TOTAL CLAIM (debt + damages + interest)</t>
  </si>
  <si>
    <t xml:space="preserve">Note: liability cap under clause 9.4 = 150% of fees paid/payable in 12 months before breach (~£609,000) ≈ £913,500; the debt claim is arguably outside the cap as a payment obligation.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</si>
</sst>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;&quot;(£&quot;#,##0\)"/>
    <numFmt numFmtId="166" formatCode="0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FEFEF"/>
      </patternFill>
    </fill>
    <fill>
      <patternFill patternType="solid">
        <fgColor rgb="FFEFEFEF"/>
        <bgColor rgb="FFD9E2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2"/>
    <col collapsed="false" customWidth="true" hidden="false" outlineLevel="0" max="6" min="3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26.25" hidden="false" customHeight="true" outlineLevel="0" collapsed="false">
      <c r="A6" s="6" t="n">
        <v>1</v>
      </c>
      <c r="B6" s="7" t="s">
        <v>9</v>
      </c>
      <c r="C6" s="6" t="s">
        <v>10</v>
      </c>
      <c r="D6" s="6" t="s">
        <v>11</v>
      </c>
      <c r="E6" s="8" t="n">
        <v>540000</v>
      </c>
      <c r="F6" s="6" t="s">
        <v>12</v>
      </c>
    </row>
    <row r="7" customFormat="false" ht="26.25" hidden="false" customHeight="true" outlineLevel="0" collapsed="false">
      <c r="A7" s="6" t="n">
        <v>2</v>
      </c>
      <c r="B7" s="7" t="s">
        <v>13</v>
      </c>
      <c r="C7" s="6" t="s">
        <v>14</v>
      </c>
      <c r="D7" s="6" t="s">
        <v>15</v>
      </c>
      <c r="E7" s="8" t="n">
        <v>45000</v>
      </c>
      <c r="F7" s="6" t="s">
        <v>12</v>
      </c>
    </row>
    <row r="8" customFormat="false" ht="26.25" hidden="false" customHeight="true" outlineLevel="0" collapsed="false">
      <c r="A8" s="6" t="n">
        <v>3</v>
      </c>
      <c r="B8" s="7" t="s">
        <v>16</v>
      </c>
      <c r="C8" s="6" t="s">
        <v>17</v>
      </c>
      <c r="D8" s="6" t="s">
        <v>18</v>
      </c>
      <c r="E8" s="8" t="n">
        <v>60000</v>
      </c>
      <c r="F8" s="6" t="s">
        <v>12</v>
      </c>
    </row>
    <row r="9" customFormat="false" ht="26.25" hidden="false" customHeight="true" outlineLevel="0" collapsed="false">
      <c r="A9" s="6" t="n">
        <v>4</v>
      </c>
      <c r="B9" s="7" t="s">
        <v>19</v>
      </c>
      <c r="C9" s="6" t="s">
        <v>20</v>
      </c>
      <c r="D9" s="6" t="s">
        <v>21</v>
      </c>
      <c r="E9" s="8" t="n">
        <v>24000</v>
      </c>
      <c r="F9" s="6" t="s">
        <v>12</v>
      </c>
    </row>
    <row r="10" customFormat="false" ht="15" hidden="false" customHeight="true" outlineLevel="0" collapsed="false">
      <c r="A10" s="9"/>
      <c r="B10" s="9" t="s">
        <v>22</v>
      </c>
      <c r="C10" s="9"/>
      <c r="D10" s="9"/>
      <c r="E10" s="10" t="n">
        <f aca="false">SUM(E6:E9)</f>
        <v>669000</v>
      </c>
      <c r="F10" s="9"/>
    </row>
    <row r="12" customFormat="false" ht="15" hidden="false" customHeight="true" outlineLevel="0" collapsed="false">
      <c r="A12" s="4" t="s">
        <v>23</v>
      </c>
      <c r="B12" s="4"/>
      <c r="C12" s="4"/>
      <c r="D12" s="4"/>
      <c r="E12" s="4"/>
      <c r="F12" s="4"/>
    </row>
    <row r="13" customFormat="false" ht="15" hidden="false" customHeight="true" outlineLevel="0" collapsed="false">
      <c r="A13" s="7"/>
      <c r="B13" s="7" t="s">
        <v>24</v>
      </c>
      <c r="C13" s="8" t="n">
        <v>540000</v>
      </c>
      <c r="D13" s="7"/>
      <c r="E13" s="7"/>
      <c r="F13" s="11" t="s">
        <v>25</v>
      </c>
    </row>
    <row r="14" customFormat="false" ht="21.75" hidden="false" customHeight="true" outlineLevel="0" collapsed="false">
      <c r="A14" s="7"/>
      <c r="B14" s="7" t="s">
        <v>26</v>
      </c>
      <c r="C14" s="12" t="s">
        <v>27</v>
      </c>
      <c r="D14" s="7"/>
      <c r="E14" s="7"/>
      <c r="F14" s="11" t="s">
        <v>28</v>
      </c>
    </row>
    <row r="15" customFormat="false" ht="15" hidden="false" customHeight="true" outlineLevel="0" collapsed="false">
      <c r="A15" s="7"/>
      <c r="B15" s="7" t="s">
        <v>29</v>
      </c>
      <c r="C15" s="12" t="s">
        <v>30</v>
      </c>
      <c r="D15" s="7"/>
      <c r="E15" s="7"/>
      <c r="F15" s="11" t="s">
        <v>31</v>
      </c>
    </row>
    <row r="16" customFormat="false" ht="15" hidden="false" customHeight="true" outlineLevel="0" collapsed="false">
      <c r="A16" s="7"/>
      <c r="B16" s="7" t="s">
        <v>32</v>
      </c>
      <c r="C16" s="13" t="n">
        <v>19</v>
      </c>
      <c r="D16" s="7"/>
      <c r="E16" s="7"/>
      <c r="F16" s="11" t="s">
        <v>33</v>
      </c>
    </row>
    <row r="17" customFormat="false" ht="32.25" hidden="false" customHeight="true" outlineLevel="0" collapsed="false">
      <c r="A17" s="7"/>
      <c r="B17" s="7" t="s">
        <v>34</v>
      </c>
      <c r="C17" s="14" t="n">
        <v>0.11</v>
      </c>
      <c r="D17" s="7"/>
      <c r="E17" s="7"/>
      <c r="F17" s="11" t="s">
        <v>35</v>
      </c>
    </row>
    <row r="18" customFormat="false" ht="15" hidden="false" customHeight="true" outlineLevel="0" collapsed="false">
      <c r="A18" s="7"/>
      <c r="B18" s="7" t="s">
        <v>36</v>
      </c>
      <c r="C18" s="7"/>
      <c r="D18" s="7"/>
      <c r="E18" s="15" t="n">
        <f aca="false">C13/12*C16</f>
        <v>855000</v>
      </c>
      <c r="F18" s="7"/>
    </row>
    <row r="19" customFormat="false" ht="15" hidden="false" customHeight="true" outlineLevel="0" collapsed="false">
      <c r="A19" s="7"/>
      <c r="B19" s="7" t="s">
        <v>37</v>
      </c>
      <c r="C19" s="7"/>
      <c r="D19" s="7"/>
      <c r="E19" s="15" t="n">
        <f aca="false">-E18*C17</f>
        <v>-94050</v>
      </c>
      <c r="F19" s="7"/>
    </row>
    <row r="20" customFormat="false" ht="15" hidden="false" customHeight="true" outlineLevel="0" collapsed="false">
      <c r="A20" s="9"/>
      <c r="B20" s="9" t="s">
        <v>38</v>
      </c>
      <c r="C20" s="9"/>
      <c r="D20" s="9"/>
      <c r="E20" s="10" t="n">
        <f aca="false">E18+E19</f>
        <v>760950</v>
      </c>
      <c r="F20" s="9"/>
    </row>
    <row r="22" customFormat="false" ht="15" hidden="false" customHeight="true" outlineLevel="0" collapsed="false">
      <c r="A22" s="4" t="s">
        <v>39</v>
      </c>
      <c r="B22" s="4"/>
      <c r="C22" s="4"/>
      <c r="D22" s="4"/>
      <c r="E22" s="4"/>
      <c r="F22" s="4"/>
    </row>
    <row r="23" customFormat="false" ht="26.25" hidden="false" customHeight="true" outlineLevel="0" collapsed="false">
      <c r="A23" s="7"/>
      <c r="B23" s="7" t="s">
        <v>40</v>
      </c>
      <c r="C23" s="14" t="n">
        <v>0.0925</v>
      </c>
      <c r="D23" s="7"/>
      <c r="E23" s="7"/>
      <c r="F23" s="11" t="s">
        <v>41</v>
      </c>
    </row>
    <row r="24" customFormat="false" ht="26.25" hidden="false" customHeight="true" outlineLevel="0" collapsed="false">
      <c r="A24" s="7"/>
      <c r="B24" s="7" t="s">
        <v>42</v>
      </c>
      <c r="C24" s="13" t="n">
        <v>365</v>
      </c>
      <c r="D24" s="7"/>
      <c r="E24" s="7"/>
      <c r="F24" s="7"/>
    </row>
    <row r="25" customFormat="false" ht="15" hidden="false" customHeight="true" outlineLevel="0" collapsed="false">
      <c r="A25" s="7"/>
      <c r="B25" s="7" t="s">
        <v>43</v>
      </c>
      <c r="C25" s="7"/>
      <c r="D25" s="7"/>
      <c r="E25" s="15" t="n">
        <f aca="false">(E10+E20)*C23*C24/365</f>
        <v>132270.375</v>
      </c>
      <c r="F25" s="7"/>
    </row>
    <row r="27" customFormat="false" ht="15" hidden="false" customHeight="true" outlineLevel="0" collapsed="false">
      <c r="A27" s="16"/>
      <c r="B27" s="17" t="s">
        <v>44</v>
      </c>
      <c r="C27" s="16"/>
      <c r="D27" s="16"/>
      <c r="E27" s="18" t="n">
        <f aca="false">E10+E20+E25</f>
        <v>1562220.375</v>
      </c>
      <c r="F27" s="16"/>
    </row>
    <row r="29" customFormat="false" ht="21.75" hidden="false" customHeight="true" outlineLevel="0" collapsed="false">
      <c r="A29" s="19" t="s">
        <v>45</v>
      </c>
      <c r="B29" s="19"/>
      <c r="C29" s="19"/>
      <c r="D29" s="19"/>
      <c r="E29" s="19"/>
      <c r="F29" s="19"/>
    </row>
  </sheetData>
  <mergeCells count="6">
    <mergeCell ref="A1:F1"/>
    <mergeCell ref="A2:F2"/>
    <mergeCell ref="A4:F4"/>
    <mergeCell ref="A12:F12"/>
    <mergeCell ref="A22:F22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2026-06-26T00:42:49Z</dcterms:created>
  <dc:creator>openpyxl</dc:creator>
  <dc:description/>
  <dc:language>en-US</dc:language>
  <cp:lastModifiedBy/>
  <dcterms:modified xsi:type="dcterms:W3CDTF">2026-06-26T00:43:14Z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