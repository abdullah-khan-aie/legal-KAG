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ent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<sst xmlns="http://schemas.openxmlformats.org/spreadsheetml/2006/main" count="105" uniqueCount="89">
  <si>
    <t xml:space="preserve">PROJECT INDIGO — HELIOS PATENT FAMILY (SCHEDULE 1)</t>
  </si>
  <si>
    <t xml:space="preserve">Cobalt Photonics Limited  |  as at 1 December 2025</t>
  </si>
  <si>
    <t xml:space="preserve">Ref</t>
  </si>
  <si>
    <t xml:space="preserve">Title</t>
  </si>
  <si>
    <t xml:space="preserve">Jurisdiction</t>
  </si>
  <si>
    <t xml:space="preserve">Application no.</t>
  </si>
  <si>
    <t xml:space="preserve">Publication / Grant no.</t>
  </si>
  <si>
    <t xml:space="preserve">Status</t>
  </si>
  <si>
    <t xml:space="preserve">Filing date</t>
  </si>
  <si>
    <t xml:space="preserve">Grant date</t>
  </si>
  <si>
    <t xml:space="preserve">Next renewal</t>
  </si>
  <si>
    <t xml:space="preserve">Annuity (£)</t>
  </si>
  <si>
    <t xml:space="preserve">P1</t>
  </si>
  <si>
    <t xml:space="preserve">Coherent FMCW LiDAR detection apparatus</t>
  </si>
  <si>
    <t xml:space="preserve">EPO (DE/FR/GB/NL/IT)</t>
  </si>
  <si>
    <t xml:space="preserve">EP15184221</t>
  </si>
  <si>
    <t xml:space="preserve">EP3142876B1</t>
  </si>
  <si>
    <t xml:space="preserve">Granted</t>
  </si>
  <si>
    <t xml:space="preserve">2015-09-08</t>
  </si>
  <si>
    <t xml:space="preserve">2021-06-30</t>
  </si>
  <si>
    <t xml:space="preserve">2026-09-08</t>
  </si>
  <si>
    <t xml:space="preserve">P2</t>
  </si>
  <si>
    <t xml:space="preserve">On-chip optical phased-array beam-steering device</t>
  </si>
  <si>
    <t xml:space="preserve">EP16178992</t>
  </si>
  <si>
    <t xml:space="preserve">EP3298714B1</t>
  </si>
  <si>
    <t xml:space="preserve">2016-07-12</t>
  </si>
  <si>
    <t xml:space="preserve">2022-03-16</t>
  </si>
  <si>
    <t xml:space="preserve">2026-03-16</t>
  </si>
  <si>
    <t xml:space="preserve">P3</t>
  </si>
  <si>
    <t xml:space="preserve">Frequency-modulated continuous-wave ranging system</t>
  </si>
  <si>
    <t xml:space="preserve">USPTO</t>
  </si>
  <si>
    <t xml:space="preserve">US15/231,884</t>
  </si>
  <si>
    <t xml:space="preserve">US10,845,617</t>
  </si>
  <si>
    <t xml:space="preserve">2016-08-09</t>
  </si>
  <si>
    <t xml:space="preserve">2020-11-24</t>
  </si>
  <si>
    <t xml:space="preserve">2027-11-24</t>
  </si>
  <si>
    <t xml:space="preserve">P4</t>
  </si>
  <si>
    <t xml:space="preserve">Silicon-photonic coherent receiver</t>
  </si>
  <si>
    <t xml:space="preserve">US16/512,003</t>
  </si>
  <si>
    <t xml:space="preserve">US11,231,094</t>
  </si>
  <si>
    <t xml:space="preserve">2019-07-15</t>
  </si>
  <si>
    <t xml:space="preserve">2022-01-25</t>
  </si>
  <si>
    <t xml:space="preserve">2026-01-25</t>
  </si>
  <si>
    <t xml:space="preserve">P5</t>
  </si>
  <si>
    <t xml:space="preserve">FMCW LiDAR signal-processing method</t>
  </si>
  <si>
    <t xml:space="preserve">CNIPA</t>
  </si>
  <si>
    <t xml:space="preserve">CN201880045.1</t>
  </si>
  <si>
    <t xml:space="preserve">CN112461923B</t>
  </si>
  <si>
    <t xml:space="preserve">2018-05-22</t>
  </si>
  <si>
    <t xml:space="preserve">2022-08-09</t>
  </si>
  <si>
    <t xml:space="preserve">2026-06-22</t>
  </si>
  <si>
    <t xml:space="preserve">P6</t>
  </si>
  <si>
    <t xml:space="preserve">Optical beam-steering integrated circuit</t>
  </si>
  <si>
    <t xml:space="preserve">JPO</t>
  </si>
  <si>
    <t xml:space="preserve">JP2018-501221</t>
  </si>
  <si>
    <t xml:space="preserve">JP6987452B2</t>
  </si>
  <si>
    <t xml:space="preserve">2018-01-19</t>
  </si>
  <si>
    <t xml:space="preserve">2021-12-21</t>
  </si>
  <si>
    <t xml:space="preserve">2025-12-21</t>
  </si>
  <si>
    <t xml:space="preserve">P7</t>
  </si>
  <si>
    <t xml:space="preserve">Calibration method for coherent LiDAR arrays</t>
  </si>
  <si>
    <t xml:space="preserve">EPO (DE/FR/GB)</t>
  </si>
  <si>
    <t xml:space="preserve">EP18207733</t>
  </si>
  <si>
    <t xml:space="preserve">EP3501122B1</t>
  </si>
  <si>
    <t xml:space="preserve">2018-11-22</t>
  </si>
  <si>
    <t xml:space="preserve">2023-02-15</t>
  </si>
  <si>
    <t xml:space="preserve">2026-04-15</t>
  </si>
  <si>
    <t xml:space="preserve">P8</t>
  </si>
  <si>
    <t xml:space="preserve">Multi-wavelength coherent detection array</t>
  </si>
  <si>
    <t xml:space="preserve">EPO</t>
  </si>
  <si>
    <t xml:space="preserve">EP20158442</t>
  </si>
  <si>
    <t xml:space="preserve">EP3712889 (pending)</t>
  </si>
  <si>
    <t xml:space="preserve">Pending (Art. 94(3))</t>
  </si>
  <si>
    <t xml:space="preserve">2020-02-20</t>
  </si>
  <si>
    <t xml:space="preserve">P9</t>
  </si>
  <si>
    <t xml:space="preserve">Integrated frequency-comb LiDAR source</t>
  </si>
  <si>
    <t xml:space="preserve">US17/884,201</t>
  </si>
  <si>
    <t xml:space="preserve">(pending)</t>
  </si>
  <si>
    <t xml:space="preserve">Pending</t>
  </si>
  <si>
    <t xml:space="preserve">P10</t>
  </si>
  <si>
    <t xml:space="preserve">Doppler-resolved coherent ranging method</t>
  </si>
  <si>
    <t xml:space="preserve">CN202310914.7</t>
  </si>
  <si>
    <t xml:space="preserve">2023-07-19</t>
  </si>
  <si>
    <t xml:space="preserve">P11</t>
  </si>
  <si>
    <t xml:space="preserve">Phase-noise compensation for FMCW LiDAR</t>
  </si>
  <si>
    <t xml:space="preserve">JP2023-118842</t>
  </si>
  <si>
    <t xml:space="preserve">2023-07-21</t>
  </si>
  <si>
    <t xml:space="preserve">Total annual annuities (£):</t>
  </si>
  <si>
    <t xml:space="preserve">Summary: 7 granted patents; 4 pending applications. EP rights validated in DE, FR, GB, NL and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</si>
</sst>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10" min="7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n">
        <v>4200</v>
      </c>
    </row>
    <row r="6" customFormat="false" ht="15" hidden="false" customHeight="false" outlineLevel="0" collapsed="false">
      <c r="A6" s="4" t="s">
        <v>21</v>
      </c>
      <c r="B6" s="5" t="s">
        <v>22</v>
      </c>
      <c r="C6" s="4" t="s">
        <v>14</v>
      </c>
      <c r="D6" s="4" t="s">
        <v>23</v>
      </c>
      <c r="E6" s="4" t="s">
        <v>24</v>
      </c>
      <c r="F6" s="4" t="s">
        <v>17</v>
      </c>
      <c r="G6" s="4" t="s">
        <v>25</v>
      </c>
      <c r="H6" s="4" t="s">
        <v>26</v>
      </c>
      <c r="I6" s="4" t="s">
        <v>27</v>
      </c>
      <c r="J6" s="4" t="n">
        <v>4200</v>
      </c>
    </row>
    <row r="7" customFormat="false" ht="23.85" hidden="false" customHeight="false" outlineLevel="0" collapsed="false">
      <c r="A7" s="4" t="s">
        <v>28</v>
      </c>
      <c r="B7" s="5" t="s">
        <v>29</v>
      </c>
      <c r="C7" s="4" t="s">
        <v>30</v>
      </c>
      <c r="D7" s="4" t="s">
        <v>31</v>
      </c>
      <c r="E7" s="4" t="s">
        <v>32</v>
      </c>
      <c r="F7" s="4" t="s">
        <v>17</v>
      </c>
      <c r="G7" s="4" t="s">
        <v>33</v>
      </c>
      <c r="H7" s="4" t="s">
        <v>34</v>
      </c>
      <c r="I7" s="4" t="s">
        <v>35</v>
      </c>
      <c r="J7" s="4" t="n">
        <v>2600</v>
      </c>
    </row>
    <row r="8" customFormat="false" ht="15" hidden="false" customHeight="false" outlineLevel="0" collapsed="false">
      <c r="A8" s="4" t="s">
        <v>36</v>
      </c>
      <c r="B8" s="5" t="s">
        <v>37</v>
      </c>
      <c r="C8" s="4" t="s">
        <v>30</v>
      </c>
      <c r="D8" s="4" t="s">
        <v>38</v>
      </c>
      <c r="E8" s="4" t="s">
        <v>39</v>
      </c>
      <c r="F8" s="4" t="s">
        <v>17</v>
      </c>
      <c r="G8" s="4" t="s">
        <v>40</v>
      </c>
      <c r="H8" s="4" t="s">
        <v>41</v>
      </c>
      <c r="I8" s="4" t="s">
        <v>42</v>
      </c>
      <c r="J8" s="4" t="n">
        <v>1500</v>
      </c>
    </row>
    <row r="9" customFormat="false" ht="15" hidden="false" customHeight="false" outlineLevel="0" collapsed="false">
      <c r="A9" s="4" t="s">
        <v>43</v>
      </c>
      <c r="B9" s="5" t="s">
        <v>44</v>
      </c>
      <c r="C9" s="4" t="s">
        <v>45</v>
      </c>
      <c r="D9" s="4" t="s">
        <v>46</v>
      </c>
      <c r="E9" s="4" t="s">
        <v>47</v>
      </c>
      <c r="F9" s="4" t="s">
        <v>17</v>
      </c>
      <c r="G9" s="4" t="s">
        <v>48</v>
      </c>
      <c r="H9" s="4" t="s">
        <v>49</v>
      </c>
      <c r="I9" s="4" t="s">
        <v>50</v>
      </c>
      <c r="J9" s="4" t="n">
        <v>900</v>
      </c>
    </row>
    <row r="10" customFormat="false" ht="15" hidden="false" customHeight="false" outlineLevel="0" collapsed="false">
      <c r="A10" s="4" t="s">
        <v>51</v>
      </c>
      <c r="B10" s="5" t="s">
        <v>52</v>
      </c>
      <c r="C10" s="4" t="s">
        <v>53</v>
      </c>
      <c r="D10" s="4" t="s">
        <v>54</v>
      </c>
      <c r="E10" s="4" t="s">
        <v>55</v>
      </c>
      <c r="F10" s="4" t="s">
        <v>17</v>
      </c>
      <c r="G10" s="4" t="s">
        <v>56</v>
      </c>
      <c r="H10" s="4" t="s">
        <v>57</v>
      </c>
      <c r="I10" s="4" t="s">
        <v>58</v>
      </c>
      <c r="J10" s="4" t="n">
        <v>1100</v>
      </c>
    </row>
    <row r="11" customFormat="false" ht="15" hidden="false" customHeight="false" outlineLevel="0" collapsed="false">
      <c r="A11" s="4" t="s">
        <v>59</v>
      </c>
      <c r="B11" s="5" t="s">
        <v>60</v>
      </c>
      <c r="C11" s="4" t="s">
        <v>61</v>
      </c>
      <c r="D11" s="4" t="s">
        <v>62</v>
      </c>
      <c r="E11" s="4" t="s">
        <v>63</v>
      </c>
      <c r="F11" s="4" t="s">
        <v>17</v>
      </c>
      <c r="G11" s="4" t="s">
        <v>64</v>
      </c>
      <c r="H11" s="4" t="s">
        <v>65</v>
      </c>
      <c r="I11" s="4" t="s">
        <v>66</v>
      </c>
      <c r="J11" s="4" t="n">
        <v>3000</v>
      </c>
    </row>
    <row r="12" customFormat="false" ht="15" hidden="false" customHeight="false" outlineLevel="0" collapsed="false">
      <c r="A12" s="4" t="s">
        <v>67</v>
      </c>
      <c r="B12" s="5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/>
      <c r="I12" s="4"/>
      <c r="J12" s="4" t="n">
        <v>0</v>
      </c>
    </row>
    <row r="13" customFormat="false" ht="15" hidden="false" customHeight="false" outlineLevel="0" collapsed="false">
      <c r="A13" s="4" t="s">
        <v>74</v>
      </c>
      <c r="B13" s="5" t="s">
        <v>75</v>
      </c>
      <c r="C13" s="4" t="s">
        <v>30</v>
      </c>
      <c r="D13" s="4" t="s">
        <v>76</v>
      </c>
      <c r="E13" s="4" t="s">
        <v>77</v>
      </c>
      <c r="F13" s="4" t="s">
        <v>78</v>
      </c>
      <c r="G13" s="4" t="s">
        <v>49</v>
      </c>
      <c r="H13" s="4"/>
      <c r="I13" s="4"/>
      <c r="J13" s="4" t="n">
        <v>0</v>
      </c>
    </row>
    <row r="14" customFormat="false" ht="15" hidden="false" customHeight="false" outlineLevel="0" collapsed="false">
      <c r="A14" s="4" t="s">
        <v>79</v>
      </c>
      <c r="B14" s="5" t="s">
        <v>80</v>
      </c>
      <c r="C14" s="4" t="s">
        <v>45</v>
      </c>
      <c r="D14" s="4" t="s">
        <v>81</v>
      </c>
      <c r="E14" s="4" t="s">
        <v>77</v>
      </c>
      <c r="F14" s="4" t="s">
        <v>78</v>
      </c>
      <c r="G14" s="4" t="s">
        <v>82</v>
      </c>
      <c r="H14" s="4"/>
      <c r="I14" s="4"/>
      <c r="J14" s="4" t="n">
        <v>0</v>
      </c>
    </row>
    <row r="15" customFormat="false" ht="15" hidden="false" customHeight="false" outlineLevel="0" collapsed="false">
      <c r="A15" s="4" t="s">
        <v>83</v>
      </c>
      <c r="B15" s="5" t="s">
        <v>84</v>
      </c>
      <c r="C15" s="4" t="s">
        <v>53</v>
      </c>
      <c r="D15" s="4" t="s">
        <v>85</v>
      </c>
      <c r="E15" s="4" t="s">
        <v>77</v>
      </c>
      <c r="F15" s="4" t="s">
        <v>78</v>
      </c>
      <c r="G15" s="4" t="s">
        <v>86</v>
      </c>
      <c r="H15" s="4"/>
      <c r="I15" s="4"/>
      <c r="J15" s="4" t="n">
        <v>0</v>
      </c>
    </row>
    <row r="16" customFormat="false" ht="15" hidden="false" customHeight="false" outlineLevel="0" collapsed="false">
      <c r="I16" s="6" t="s">
        <v>87</v>
      </c>
      <c r="J16" s="7" t="n">
        <f aca="false">SUM(J5:J15)</f>
        <v>17500</v>
      </c>
    </row>
    <row r="18" customFormat="false" ht="15" hidden="false" customHeight="false" outlineLevel="0" collapsed="false">
      <c r="A18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2026-06-30T21:46:22Z</dcterms:created>
  <dc:creator>openpyxl</dc:creator>
  <dc:description/>
  <dc:language>en-US</dc:language>
  <cp:lastModifiedBy/>
  <dcterms:modified xsi:type="dcterms:W3CDTF">2026-06-30T21:46:22Z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