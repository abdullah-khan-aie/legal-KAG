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oyalty Proje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<sst xmlns="http://schemas.openxmlformats.org/spreadsheetml/2006/main" count="30" uniqueCount="30">
  <si>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PROJECT INDIGO — DEAL ECONOMICS (ASSUMPTIONS)</t>
  </si>
  <si>
    <t xml:space="preserve">Cobalt Photonics / Tessandri Instruments — executed terms</t>
  </si>
  <si>
    <t xml:space="preserve">Assumption</t>
  </si>
  <si>
    <t xml:space="preserve">Value</t>
  </si>
  <si>
    <t xml:space="preserve">Source / note</t>
  </si>
  <si>
    <t xml:space="preserve">Upfront fee (£)</t>
  </si>
  <si>
    <t xml:space="preserve">Cl. 6.1 — £2.0m on Effective Date + £2.5m on 1st anniversary</t>
  </si>
  <si>
    <t xml:space="preserve">Technology transfer fee (£)</t>
  </si>
  <si>
    <t xml:space="preserve">Cl. 3.2 — three instalments</t>
  </si>
  <si>
    <t xml:space="preserve">Running royalty rate</t>
  </si>
  <si>
    <t xml:space="preserve">Cl. 6.2 — executed 4.5% of Net Sales</t>
  </si>
  <si>
    <t xml:space="preserve">Minimum annual royalty (£)</t>
  </si>
  <si>
    <t xml:space="preserve">Cl. 6.3 — from Contract Year 2</t>
  </si>
  <si>
    <t xml:space="preserve">Year-1 Licensee Net Sales (£)</t>
  </si>
  <si>
    <t xml:space="preserve">Tessandri commercial forecast</t>
  </si>
  <si>
    <t xml:space="preserve">Net Sales annual growth</t>
  </si>
  <si>
    <t xml:space="preserve">Ramp assumption</t>
  </si>
  <si>
    <t xml:space="preserve">Liability cap (% of 12m fees)</t>
  </si>
  <si>
    <t xml:space="preserve">Cl. 9.3 — executed 150%</t>
  </si>
  <si>
    <t xml:space="preserve">12-YEAR ROYALTY PROJECTION (£)</t>
  </si>
  <si>
    <t xml:space="preserve">Contract Year</t>
  </si>
  <si>
    <t xml:space="preserve">Net Sales</t>
  </si>
  <si>
    <t xml:space="preserve">Running royalty @4.5%</t>
  </si>
  <si>
    <t xml:space="preserve">Minimum royalty</t>
  </si>
  <si>
    <t xml:space="preserve">Royalty payable (greater of)</t>
  </si>
  <si>
    <t xml:space="preserve">Cumulative royalties</t>
  </si>
  <si>
    <t xml:space="preserve">Upfront fee</t>
  </si>
  <si>
    <t xml:space="preserve">Technology transfer fee</t>
  </si>
  <si>
    <t xml:space="preserve">Total royalties (12 yrs)</t>
  </si>
  <si>
    <t xml:space="preserve">Total to Licensor (12 yrs)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</si>
</sst>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4500000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350000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v>0.045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750000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6000000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7" t="n">
        <v>0.35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7" t="n">
        <v>1.5</v>
      </c>
      <c r="C11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19</v>
      </c>
    </row>
    <row r="3" customFormat="false" ht="23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</row>
    <row r="4" customFormat="false" ht="15" hidden="false" customHeight="false" outlineLevel="0" collapsed="false">
      <c r="A4" s="8" t="n">
        <v>1</v>
      </c>
      <c r="B4" s="9" t="n">
        <f aca="false">Assumptions!$B$9</f>
        <v>6000000</v>
      </c>
      <c r="C4" s="9" t="n">
        <f aca="false">B4*Assumptions!$B$7</f>
        <v>270000</v>
      </c>
      <c r="D4" s="9" t="n">
        <f aca="false">0</f>
        <v>0</v>
      </c>
      <c r="E4" s="9" t="n">
        <f aca="false">MAX(C4,D4)</f>
        <v>270000</v>
      </c>
      <c r="F4" s="9" t="n">
        <f aca="false">E4</f>
        <v>270000</v>
      </c>
    </row>
    <row r="5" customFormat="false" ht="15" hidden="false" customHeight="false" outlineLevel="0" collapsed="false">
      <c r="A5" s="8" t="n">
        <v>2</v>
      </c>
      <c r="B5" s="9" t="n">
        <f aca="false">B4*(1+Assumptions!$B$10)</f>
        <v>8100000</v>
      </c>
      <c r="C5" s="9" t="n">
        <f aca="false">B5*Assumptions!$B$7</f>
        <v>364500</v>
      </c>
      <c r="D5" s="9" t="n">
        <f aca="false">Assumptions!$B$8</f>
        <v>750000</v>
      </c>
      <c r="E5" s="9" t="n">
        <f aca="false">MAX(C5,D5)</f>
        <v>750000</v>
      </c>
      <c r="F5" s="9" t="n">
        <f aca="false">F4+E5</f>
        <v>1020000</v>
      </c>
    </row>
    <row r="6" customFormat="false" ht="15" hidden="false" customHeight="false" outlineLevel="0" collapsed="false">
      <c r="A6" s="8" t="n">
        <v>3</v>
      </c>
      <c r="B6" s="9" t="n">
        <f aca="false">B5*(1+Assumptions!$B$10)</f>
        <v>10935000</v>
      </c>
      <c r="C6" s="9" t="n">
        <f aca="false">B6*Assumptions!$B$7</f>
        <v>492075</v>
      </c>
      <c r="D6" s="9" t="n">
        <f aca="false">Assumptions!$B$8</f>
        <v>750000</v>
      </c>
      <c r="E6" s="9" t="n">
        <f aca="false">MAX(C6,D6)</f>
        <v>750000</v>
      </c>
      <c r="F6" s="9" t="n">
        <f aca="false">F5+E6</f>
        <v>1770000</v>
      </c>
    </row>
    <row r="7" customFormat="false" ht="15" hidden="false" customHeight="false" outlineLevel="0" collapsed="false">
      <c r="A7" s="8" t="n">
        <v>4</v>
      </c>
      <c r="B7" s="9" t="n">
        <f aca="false">B6*(1+Assumptions!$B$10)</f>
        <v>14762250</v>
      </c>
      <c r="C7" s="9" t="n">
        <f aca="false">B7*Assumptions!$B$7</f>
        <v>664301.25</v>
      </c>
      <c r="D7" s="9" t="n">
        <f aca="false">Assumptions!$B$8</f>
        <v>750000</v>
      </c>
      <c r="E7" s="9" t="n">
        <f aca="false">MAX(C7,D7)</f>
        <v>750000</v>
      </c>
      <c r="F7" s="9" t="n">
        <f aca="false">F6+E7</f>
        <v>2520000</v>
      </c>
    </row>
    <row r="8" customFormat="false" ht="15" hidden="false" customHeight="false" outlineLevel="0" collapsed="false">
      <c r="A8" s="8" t="n">
        <v>5</v>
      </c>
      <c r="B8" s="9" t="n">
        <f aca="false">B7*(1+Assumptions!$B$10)</f>
        <v>19929037.5</v>
      </c>
      <c r="C8" s="9" t="n">
        <f aca="false">B8*Assumptions!$B$7</f>
        <v>896806.6875</v>
      </c>
      <c r="D8" s="9" t="n">
        <f aca="false">Assumptions!$B$8</f>
        <v>750000</v>
      </c>
      <c r="E8" s="9" t="n">
        <f aca="false">MAX(C8,D8)</f>
        <v>896806.6875</v>
      </c>
      <c r="F8" s="9" t="n">
        <f aca="false">F7+E8</f>
        <v>3416806.6875</v>
      </c>
    </row>
    <row r="9" customFormat="false" ht="15" hidden="false" customHeight="false" outlineLevel="0" collapsed="false">
      <c r="A9" s="8" t="n">
        <v>6</v>
      </c>
      <c r="B9" s="9" t="n">
        <f aca="false">B8*(1+Assumptions!$B$10)</f>
        <v>26904200.625</v>
      </c>
      <c r="C9" s="9" t="n">
        <f aca="false">B9*Assumptions!$B$7</f>
        <v>1210689.028125</v>
      </c>
      <c r="D9" s="9" t="n">
        <f aca="false">Assumptions!$B$8</f>
        <v>750000</v>
      </c>
      <c r="E9" s="9" t="n">
        <f aca="false">MAX(C9,D9)</f>
        <v>1210689.028125</v>
      </c>
      <c r="F9" s="9" t="n">
        <f aca="false">F8+E9</f>
        <v>4627495.715625</v>
      </c>
    </row>
    <row r="10" customFormat="false" ht="15" hidden="false" customHeight="false" outlineLevel="0" collapsed="false">
      <c r="A10" s="8" t="n">
        <v>7</v>
      </c>
      <c r="B10" s="9" t="n">
        <f aca="false">B9*(1+Assumptions!$B$10)</f>
        <v>36320670.84375</v>
      </c>
      <c r="C10" s="9" t="n">
        <f aca="false">B10*Assumptions!$B$7</f>
        <v>1634430.18796875</v>
      </c>
      <c r="D10" s="9" t="n">
        <f aca="false">Assumptions!$B$8</f>
        <v>750000</v>
      </c>
      <c r="E10" s="9" t="n">
        <f aca="false">MAX(C10,D10)</f>
        <v>1634430.18796875</v>
      </c>
      <c r="F10" s="9" t="n">
        <f aca="false">F9+E10</f>
        <v>6261925.90359375</v>
      </c>
    </row>
    <row r="11" customFormat="false" ht="15" hidden="false" customHeight="false" outlineLevel="0" collapsed="false">
      <c r="A11" s="8" t="n">
        <v>8</v>
      </c>
      <c r="B11" s="9" t="n">
        <f aca="false">B10*(1+Assumptions!$B$10)</f>
        <v>49032905.6390625</v>
      </c>
      <c r="C11" s="9" t="n">
        <f aca="false">B11*Assumptions!$B$7</f>
        <v>2206480.75375781</v>
      </c>
      <c r="D11" s="9" t="n">
        <f aca="false">Assumptions!$B$8</f>
        <v>750000</v>
      </c>
      <c r="E11" s="9" t="n">
        <f aca="false">MAX(C11,D11)</f>
        <v>2206480.75375781</v>
      </c>
      <c r="F11" s="9" t="n">
        <f aca="false">F10+E11</f>
        <v>8468406.65735157</v>
      </c>
    </row>
    <row r="12" customFormat="false" ht="15" hidden="false" customHeight="false" outlineLevel="0" collapsed="false">
      <c r="A12" s="8" t="n">
        <v>9</v>
      </c>
      <c r="B12" s="9" t="n">
        <f aca="false">B11*(1+Assumptions!$B$10)</f>
        <v>66194422.6127344</v>
      </c>
      <c r="C12" s="9" t="n">
        <f aca="false">B12*Assumptions!$B$7</f>
        <v>2978749.01757305</v>
      </c>
      <c r="D12" s="9" t="n">
        <f aca="false">Assumptions!$B$8</f>
        <v>750000</v>
      </c>
      <c r="E12" s="9" t="n">
        <f aca="false">MAX(C12,D12)</f>
        <v>2978749.01757305</v>
      </c>
      <c r="F12" s="9" t="n">
        <f aca="false">F11+E12</f>
        <v>11447155.6749246</v>
      </c>
    </row>
    <row r="13" customFormat="false" ht="15" hidden="false" customHeight="false" outlineLevel="0" collapsed="false">
      <c r="A13" s="8" t="n">
        <v>10</v>
      </c>
      <c r="B13" s="9" t="n">
        <f aca="false">B12*(1+Assumptions!$B$10)</f>
        <v>89362470.5271915</v>
      </c>
      <c r="C13" s="9" t="n">
        <f aca="false">B13*Assumptions!$B$7</f>
        <v>4021311.17372362</v>
      </c>
      <c r="D13" s="9" t="n">
        <f aca="false">Assumptions!$B$8</f>
        <v>750000</v>
      </c>
      <c r="E13" s="9" t="n">
        <f aca="false">MAX(C13,D13)</f>
        <v>4021311.17372362</v>
      </c>
      <c r="F13" s="9" t="n">
        <f aca="false">F12+E13</f>
        <v>15468466.8486482</v>
      </c>
    </row>
    <row r="14" customFormat="false" ht="15" hidden="false" customHeight="false" outlineLevel="0" collapsed="false">
      <c r="A14" s="8" t="n">
        <v>11</v>
      </c>
      <c r="B14" s="9" t="n">
        <f aca="false">B13*(1+Assumptions!$B$10)</f>
        <v>120639335.211708</v>
      </c>
      <c r="C14" s="9" t="n">
        <f aca="false">B14*Assumptions!$B$7</f>
        <v>5428770.08452688</v>
      </c>
      <c r="D14" s="9" t="n">
        <f aca="false">Assumptions!$B$8</f>
        <v>750000</v>
      </c>
      <c r="E14" s="9" t="n">
        <f aca="false">MAX(C14,D14)</f>
        <v>5428770.08452688</v>
      </c>
      <c r="F14" s="9" t="n">
        <f aca="false">F13+E14</f>
        <v>20897236.9331751</v>
      </c>
    </row>
    <row r="15" customFormat="false" ht="15" hidden="false" customHeight="false" outlineLevel="0" collapsed="false">
      <c r="A15" s="8" t="n">
        <v>12</v>
      </c>
      <c r="B15" s="9" t="n">
        <f aca="false">B14*(1+Assumptions!$B$10)</f>
        <v>162863102.535806</v>
      </c>
      <c r="C15" s="9" t="n">
        <f aca="false">B15*Assumptions!$B$7</f>
        <v>7328839.61411129</v>
      </c>
      <c r="D15" s="9" t="n">
        <f aca="false">Assumptions!$B$8</f>
        <v>750000</v>
      </c>
      <c r="E15" s="9" t="n">
        <f aca="false">MAX(C15,D15)</f>
        <v>7328839.61411129</v>
      </c>
      <c r="F15" s="9" t="n">
        <f aca="false">F14+E15</f>
        <v>28226076.5472864</v>
      </c>
    </row>
    <row r="17" customFormat="false" ht="15" hidden="false" customHeight="false" outlineLevel="0" collapsed="false">
      <c r="A17" s="10" t="s">
        <v>26</v>
      </c>
      <c r="E17" s="11" t="n">
        <f aca="false">Assumptions!$B$5</f>
        <v>4500000</v>
      </c>
    </row>
    <row r="18" customFormat="false" ht="15" hidden="false" customHeight="false" outlineLevel="0" collapsed="false">
      <c r="A18" s="10" t="s">
        <v>27</v>
      </c>
      <c r="E18" s="11" t="n">
        <f aca="false">Assumptions!$B$6</f>
        <v>350000</v>
      </c>
    </row>
    <row r="19" customFormat="false" ht="15" hidden="false" customHeight="false" outlineLevel="0" collapsed="false">
      <c r="A19" s="10" t="s">
        <v>28</v>
      </c>
      <c r="E19" s="11" t="n">
        <f aca="false">F15</f>
        <v>28226076.5472864</v>
      </c>
    </row>
    <row r="20" customFormat="false" ht="15" hidden="false" customHeight="false" outlineLevel="0" collapsed="false">
      <c r="A20" s="10" t="s">
        <v>29</v>
      </c>
      <c r="E20" s="11" t="n">
        <f aca="false">E17+E18+E19</f>
        <v>33076076.5472864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2026-06-30T21:46:22Z</dcterms:created>
  <dc:creator>openpyxl</dc:creator>
  <dc:description/>
  <dc:language>en-US</dc:language>
  <cp:lastModifiedBy/>
  <dcterms:modified xsi:type="dcterms:W3CDTF">2026-06-30T21:46:22Z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