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thin">
        <color rgb="00333333"/>
      </top>
      <bottom style="double">
        <color rgb="00333333"/>
      </bottom>
    </border>
    <border>
      <top style="thin">
        <color rgb="00333333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0"/>
    <xf numFmtId="0" fontId="3" fillId="0" borderId="3" pivotButton="0" quotePrefix="0" xfId="0"/>
    <xf numFmtId="164" fontId="3" fillId="0" borderId="2" pivotButton="0" quotePrefix="0" xfId="0"/>
    <xf numFmtId="0" fontId="3" fillId="0" borderId="0" pivotButton="0" quotePrefix="0" xfId="0"/>
    <xf numFmtId="164" fontId="3" fillId="0" borderId="0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8" customWidth="1" min="3" max="3"/>
    <col width="30" customWidth="1" min="4" max="4"/>
    <col width="34" customWidth="1" min="5" max="5"/>
  </cols>
  <sheetData>
    <row r="1" ht="24" customHeight="1">
      <c r="A1" s="1" t="inlineStr">
        <is>
          <t>PROJECT GRANITE — COMPLETION FUNDS FLOW STATEMENT</t>
        </is>
      </c>
    </row>
    <row r="2" ht="16" customHeight="1">
      <c r="A2" s="2" t="inlineStr">
        <is>
          <t>Acquisition of Calder Vale Foods Limited by Wexford Holdings Limited  |  Completion: 12 December 2025  |  Prepared by Whitfield Carter LLP</t>
        </is>
      </c>
    </row>
    <row r="4">
      <c r="A4" s="3" t="inlineStr">
        <is>
          <t>SOURCES OF FUNDS (Buyer)</t>
        </is>
      </c>
      <c r="B4" s="4" t="n"/>
      <c r="C4" s="4" t="n"/>
      <c r="D4" s="4" t="n"/>
      <c r="E4" s="4" t="n"/>
    </row>
    <row r="5">
      <c r="A5" s="5" t="inlineStr">
        <is>
          <t>#</t>
        </is>
      </c>
      <c r="B5" s="6" t="inlineStr">
        <is>
          <t>Source</t>
        </is>
      </c>
      <c r="C5" s="5" t="inlineStr">
        <is>
          <t>Amount (GBP)</t>
        </is>
      </c>
      <c r="D5" s="5" t="inlineStr">
        <is>
          <t>Provider</t>
        </is>
      </c>
      <c r="E5" s="5" t="inlineStr">
        <is>
          <t>Account / reference</t>
        </is>
      </c>
    </row>
    <row r="6">
      <c r="A6" s="7" t="n">
        <v>1</v>
      </c>
      <c r="B6" s="7" t="inlineStr">
        <is>
          <t>Drawdown — Northbank plc acquisition facility (Facility A)</t>
        </is>
      </c>
      <c r="C6" s="8" t="n">
        <v>41000000</v>
      </c>
      <c r="D6" s="7" t="inlineStr">
        <is>
          <t>Northbank plc</t>
        </is>
      </c>
      <c r="E6" s="7" t="inlineStr">
        <is>
          <t>Wexford Holdings — Facility A</t>
        </is>
      </c>
    </row>
    <row r="7">
      <c r="A7" s="7" t="n">
        <v>2</v>
      </c>
      <c r="B7" s="7" t="inlineStr">
        <is>
          <t>Wexford Holdings cash resources — shareholder-loan repayment</t>
        </is>
      </c>
      <c r="C7" s="8" t="n">
        <v>1500000</v>
      </c>
      <c r="D7" s="7" t="inlineStr">
        <is>
          <t>Wexford Holdings</t>
        </is>
      </c>
      <c r="E7" s="7" t="inlineStr">
        <is>
          <t>Wexford current account</t>
        </is>
      </c>
    </row>
    <row r="8">
      <c r="B8" s="9" t="inlineStr">
        <is>
          <t>Total sources of funds</t>
        </is>
      </c>
      <c r="C8" s="10">
        <f>SUM(C6:C7)</f>
        <v/>
      </c>
    </row>
    <row r="10">
      <c r="A10" s="3" t="inlineStr">
        <is>
          <t>USES OF FUNDS</t>
        </is>
      </c>
      <c r="B10" s="4" t="n"/>
      <c r="C10" s="4" t="n"/>
      <c r="D10" s="4" t="n"/>
      <c r="E10" s="4" t="n"/>
    </row>
    <row r="11">
      <c r="A11" s="5" t="inlineStr">
        <is>
          <t>#</t>
        </is>
      </c>
      <c r="B11" s="6" t="inlineStr">
        <is>
          <t>Use / payee</t>
        </is>
      </c>
      <c r="C11" s="5" t="inlineStr">
        <is>
          <t>Amount (GBP)</t>
        </is>
      </c>
      <c r="D11" s="5" t="inlineStr">
        <is>
          <t>Payee account</t>
        </is>
      </c>
      <c r="E11" s="5" t="inlineStr">
        <is>
          <t>Notes</t>
        </is>
      </c>
    </row>
    <row r="12">
      <c r="A12" s="7" t="n">
        <v>1</v>
      </c>
      <c r="B12" s="7" t="inlineStr">
        <is>
          <t>Completion payment to the Sellers (Consideration less Retention)</t>
        </is>
      </c>
      <c r="C12" s="8" t="n">
        <v>38950000</v>
      </c>
      <c r="D12" s="7" t="inlineStr">
        <is>
          <t>Castle &amp; Vane LLP client account</t>
        </is>
      </c>
      <c r="E12" s="7" t="inlineStr">
        <is>
          <t>Equity £41.0m less Retention £2.05m</t>
        </is>
      </c>
    </row>
    <row r="13">
      <c r="A13" s="7" t="n">
        <v>2</v>
      </c>
      <c r="B13" s="7" t="inlineStr">
        <is>
          <t>Retention into the Escrow Account (5% of equity value)</t>
        </is>
      </c>
      <c r="C13" s="8" t="n">
        <v>2050000</v>
      </c>
      <c r="D13" s="7" t="inlineStr">
        <is>
          <t>Escrow Agent — Lloyds Bank</t>
        </is>
      </c>
      <c r="E13" s="7" t="inlineStr">
        <is>
          <t>Held 18 months per SPA cl. 3.5</t>
        </is>
      </c>
    </row>
    <row r="14">
      <c r="A14" s="7" t="n">
        <v>3</v>
      </c>
      <c r="B14" s="7" t="inlineStr">
        <is>
          <t>Repayment of shareholder loans to the Sellers</t>
        </is>
      </c>
      <c r="C14" s="8" t="n">
        <v>1500000</v>
      </c>
      <c r="D14" s="7" t="inlineStr">
        <is>
          <t>Calder Vale Foods Limited</t>
        </is>
      </c>
      <c r="E14" s="7" t="inlineStr">
        <is>
          <t>Per completion accounts pack</t>
        </is>
      </c>
    </row>
    <row r="15">
      <c r="B15" s="9" t="inlineStr">
        <is>
          <t>Total uses of funds</t>
        </is>
      </c>
      <c r="C15" s="10">
        <f>SUM(C12:C14)</f>
        <v/>
      </c>
    </row>
    <row r="16">
      <c r="B16" s="11" t="inlineStr">
        <is>
          <t>Check — sources less uses (must be nil)</t>
        </is>
      </c>
      <c r="C16" s="12">
        <f>C8-C15</f>
        <v/>
      </c>
    </row>
    <row r="18">
      <c r="A18" s="3" t="inlineStr">
        <is>
          <t>MEMORANDUM — allocation of completion payment among Sellers</t>
        </is>
      </c>
      <c r="B18" s="4" t="n"/>
      <c r="C18" s="4" t="n"/>
      <c r="D18" s="4" t="n"/>
      <c r="E18" s="4" t="n"/>
    </row>
    <row r="19">
      <c r="A19" s="5" t="inlineStr">
        <is>
          <t>#</t>
        </is>
      </c>
      <c r="B19" s="6" t="inlineStr">
        <is>
          <t>Seller</t>
        </is>
      </c>
      <c r="C19" s="5" t="inlineStr">
        <is>
          <t>Amount (GBP)</t>
        </is>
      </c>
      <c r="D19" s="5" t="inlineStr">
        <is>
          <t>Holding %</t>
        </is>
      </c>
      <c r="E19" s="5" t="inlineStr">
        <is>
          <t>Notes</t>
        </is>
      </c>
    </row>
    <row r="20">
      <c r="A20" s="7" t="n">
        <v>1</v>
      </c>
      <c r="B20" s="7" t="inlineStr">
        <is>
          <t>Robert Calder</t>
        </is>
      </c>
      <c r="C20" s="8">
        <f>38950000*0.65</f>
        <v/>
      </c>
      <c r="D20" s="13" t="n">
        <v>0.65</v>
      </c>
      <c r="E20" s="7" t="inlineStr">
        <is>
          <t>65% of completion payment</t>
        </is>
      </c>
    </row>
    <row r="21">
      <c r="A21" s="7" t="n">
        <v>2</v>
      </c>
      <c r="B21" s="7" t="inlineStr">
        <is>
          <t>Helen Calder</t>
        </is>
      </c>
      <c r="C21" s="8">
        <f>38950000*0.20</f>
        <v/>
      </c>
      <c r="D21" s="13" t="n">
        <v>0.2</v>
      </c>
      <c r="E21" s="7" t="inlineStr">
        <is>
          <t>20% of completion payment</t>
        </is>
      </c>
    </row>
    <row r="22">
      <c r="A22" s="7" t="n">
        <v>3</v>
      </c>
      <c r="B22" s="7" t="inlineStr">
        <is>
          <t>Calder Family Trust</t>
        </is>
      </c>
      <c r="C22" s="8">
        <f>38950000*0.15</f>
        <v/>
      </c>
      <c r="D22" s="13" t="n">
        <v>0.15</v>
      </c>
      <c r="E22" s="7" t="inlineStr">
        <is>
          <t>15% of completion payment</t>
        </is>
      </c>
    </row>
    <row r="23">
      <c r="B23" s="11" t="inlineStr">
        <is>
          <t>Total completion payment</t>
        </is>
      </c>
      <c r="C23" s="10">
        <f>SUM(C20:C22)</f>
        <v/>
      </c>
    </row>
    <row r="25">
      <c r="A25" s="3" t="inlineStr">
        <is>
          <t>MEMORANDUM — post-completion items (not funded at Completion)</t>
        </is>
      </c>
      <c r="B25" s="4" t="n"/>
      <c r="C25" s="4" t="n"/>
      <c r="D25" s="4" t="n"/>
      <c r="E25" s="4" t="n"/>
    </row>
    <row r="26">
      <c r="A26" s="5" t="inlineStr">
        <is>
          <t>#</t>
        </is>
      </c>
      <c r="B26" s="6" t="inlineStr">
        <is>
          <t>Item</t>
        </is>
      </c>
      <c r="C26" s="5" t="inlineStr">
        <is>
          <t>Amount (GBP)</t>
        </is>
      </c>
      <c r="D26" s="5" t="inlineStr">
        <is>
          <t>Payer</t>
        </is>
      </c>
      <c r="E26" s="5" t="inlineStr">
        <is>
          <t>Timing</t>
        </is>
      </c>
    </row>
    <row r="27">
      <c r="A27" s="7" t="n">
        <v>1</v>
      </c>
      <c r="B27" s="7" t="inlineStr">
        <is>
          <t>Stamp duty at 0.5% on stock transfer forms</t>
        </is>
      </c>
      <c r="C27" s="8">
        <f>41000000*0.005</f>
        <v/>
      </c>
      <c r="D27" s="7" t="inlineStr">
        <is>
          <t>Wexford Holdings</t>
        </is>
      </c>
      <c r="E27" s="7" t="inlineStr">
        <is>
          <t>Within 30 days of Completion</t>
        </is>
      </c>
    </row>
    <row r="28">
      <c r="A28" s="7" t="n">
        <v>2</v>
      </c>
      <c r="B28" s="7" t="inlineStr">
        <is>
          <t>Estimated completion-accounts adjustment (TBD)</t>
        </is>
      </c>
      <c r="C28" s="8" t="n">
        <v>0</v>
      </c>
      <c r="D28" s="7" t="inlineStr">
        <is>
          <t>TBD</t>
        </is>
      </c>
      <c r="E28" s="7" t="inlineStr">
        <is>
          <t>On Completion Accounts becoming final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2026-06-10T21:40:12Z</dcterms:created>
  <dcterms:modified xmlns:dcterms="http://purl.org/dc/terms/" xmlns:xsi="http://www.w3.org/2001/XMLSchema-instance" xsi:type="dcterms:W3CDTF">2026-06-10T21:40:12Z</dcterms:modified>
</cp:coreProperties>
</file>