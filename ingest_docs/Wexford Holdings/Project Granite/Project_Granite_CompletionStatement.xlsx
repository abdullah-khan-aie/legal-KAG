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deration" sheetId="1" state="visible" r:id="rId1"/>
    <sheet xmlns:r="http://schemas.openxmlformats.org/officeDocument/2006/relationships" name="Net Debt" sheetId="2" state="visible" r:id="rId2"/>
    <sheet xmlns:r="http://schemas.openxmlformats.org/officeDocument/2006/relationships" name="Working Capital" sheetId="3" state="visible" r:id="rId3"/>
    <sheet xmlns:r="http://schemas.openxmlformats.org/officeDocument/2006/relationships" name="Seller Spl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top style="thin">
        <color rgb="00333333"/>
      </top>
    </border>
    <border>
      <top style="thin">
        <color rgb="00333333"/>
      </top>
      <bottom style="double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2" pivotButton="0" quotePrefix="0" xfId="0"/>
    <xf numFmtId="164" fontId="5" fillId="0" borderId="3" pivotButton="0" quotePrefix="0" xfId="0"/>
    <xf numFmtId="165" fontId="4" fillId="0" borderId="0" pivotButton="0" quotePrefix="0" xfId="0"/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0" customWidth="1" min="3" max="3"/>
  </cols>
  <sheetData>
    <row r="1" ht="24" customHeight="1">
      <c r="A1" s="1" t="inlineStr">
        <is>
          <t>PROJECT GRANITE — COMPLETION STATEMENT</t>
        </is>
      </c>
    </row>
    <row r="2" ht="16" customHeight="1">
      <c r="A2" s="2" t="inlineStr">
        <is>
          <t>Calder Vale Foods Limited  |  Completion: 12 December 2025  |  Equity bridge and seller allocation</t>
        </is>
      </c>
    </row>
    <row r="4">
      <c r="A4" s="3" t="inlineStr">
        <is>
          <t>Item</t>
        </is>
      </c>
      <c r="B4" s="3" t="inlineStr">
        <is>
          <t>GBP</t>
        </is>
      </c>
      <c r="C4" s="3" t="inlineStr">
        <is>
          <t>Note</t>
        </is>
      </c>
    </row>
    <row r="5">
      <c r="A5" s="4" t="inlineStr">
        <is>
          <t>Enterprise Value (agreed)</t>
        </is>
      </c>
      <c r="B5" s="5" t="n">
        <v>45000000</v>
      </c>
      <c r="C5" s="4" t="inlineStr">
        <is>
          <t>Heads of Terms cl. 3 / SPA cl. 3.1</t>
        </is>
      </c>
    </row>
    <row r="6">
      <c r="A6" s="4" t="inlineStr">
        <is>
          <t>Less: Completion Net Debt (see Net Debt tab)</t>
        </is>
      </c>
      <c r="B6" s="5">
        <f>-'Net Debt'!B12</f>
        <v/>
      </c>
      <c r="C6" s="4" t="inlineStr">
        <is>
          <t>Third-party borrowings less cash</t>
        </is>
      </c>
    </row>
    <row r="7">
      <c r="A7" s="4" t="inlineStr">
        <is>
          <t>Less: Working-capital shortfall vs target (see Working Capital tab)</t>
        </is>
      </c>
      <c r="B7" s="5">
        <f>-'Working Capital'!B12</f>
        <v/>
      </c>
      <c r="C7" s="4" t="inlineStr">
        <is>
          <t>Target WC £4.5m; actual £3.7m</t>
        </is>
      </c>
    </row>
    <row r="8">
      <c r="A8" s="6" t="inlineStr">
        <is>
          <t>Equity Value / Consideration</t>
        </is>
      </c>
      <c r="B8" s="7">
        <f>SUM(B5:B7)</f>
        <v/>
      </c>
    </row>
    <row r="9">
      <c r="A9" s="4" t="inlineStr">
        <is>
          <t>Less: Retention into Escrow (5%)</t>
        </is>
      </c>
      <c r="B9" s="5">
        <f>-B8*0.05</f>
        <v/>
      </c>
    </row>
    <row r="10">
      <c r="A10" s="6" t="inlineStr">
        <is>
          <t>Completion payment to Sellers</t>
        </is>
      </c>
      <c r="B10" s="8">
        <f>B8+B9</f>
        <v/>
      </c>
    </row>
    <row r="11">
      <c r="A11" s="4" t="inlineStr">
        <is>
          <t>Add: Repayment of shareholder loans</t>
        </is>
      </c>
      <c r="B11" s="5" t="n">
        <v>1500000</v>
      </c>
    </row>
    <row r="12">
      <c r="A12" s="6" t="inlineStr">
        <is>
          <t>Total funds remitted by Buyer at Completion</t>
        </is>
      </c>
      <c r="B12" s="8">
        <f>B8+B11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0" customWidth="1" min="3" max="3"/>
  </cols>
  <sheetData>
    <row r="1" ht="24" customHeight="1">
      <c r="A1" s="1" t="inlineStr">
        <is>
          <t>COMPLETION NET DEBT</t>
        </is>
      </c>
    </row>
    <row r="2" ht="16" customHeight="1">
      <c r="A2" s="2" t="inlineStr">
        <is>
          <t>Estimated as at the Completion Date (12 December 2025)  |  GBP</t>
        </is>
      </c>
    </row>
    <row r="4">
      <c r="A4" s="3" t="inlineStr">
        <is>
          <t>Component</t>
        </is>
      </c>
      <c r="B4" s="3" t="inlineStr">
        <is>
          <t>GBP</t>
        </is>
      </c>
      <c r="C4" s="3" t="inlineStr">
        <is>
          <t>Source</t>
        </is>
      </c>
    </row>
    <row r="5">
      <c r="A5" s="4" t="inlineStr">
        <is>
          <t>Bank term loan — Northbank plc</t>
        </is>
      </c>
      <c r="B5" s="5" t="n">
        <v>3600000</v>
      </c>
      <c r="C5" s="4" t="inlineStr">
        <is>
          <t>Loan statement 30/11/25</t>
        </is>
      </c>
    </row>
    <row r="6">
      <c r="A6" s="4" t="inlineStr">
        <is>
          <t>Bank overdraft</t>
        </is>
      </c>
      <c r="B6" s="5" t="n">
        <v>450000</v>
      </c>
      <c r="C6" s="4" t="inlineStr">
        <is>
          <t>Bank statement 30/11/25</t>
        </is>
      </c>
    </row>
    <row r="7">
      <c r="A7" s="4" t="inlineStr">
        <is>
          <t>Finance lease obligations (plant &amp; vehicles)</t>
        </is>
      </c>
      <c r="B7" s="5" t="n">
        <v>1100000</v>
      </c>
      <c r="C7" s="4" t="inlineStr">
        <is>
          <t>Lease schedule</t>
        </is>
      </c>
    </row>
    <row r="8">
      <c r="A8" s="4" t="inlineStr">
        <is>
          <t>Accrued but unpaid interest</t>
        </is>
      </c>
      <c r="B8" s="5" t="n">
        <v>0</v>
      </c>
      <c r="C8" s="4" t="inlineStr">
        <is>
          <t>Estimate to Completion</t>
        </is>
      </c>
    </row>
    <row r="9">
      <c r="A9" s="4" t="inlineStr">
        <is>
          <t>Less: Cash and cash equivalents</t>
        </is>
      </c>
      <c r="B9" s="5" t="n">
        <v>-1950000</v>
      </c>
      <c r="C9" s="4" t="inlineStr">
        <is>
          <t>Bank statements / petty cash</t>
        </is>
      </c>
    </row>
    <row r="12">
      <c r="A12" s="6" t="inlineStr">
        <is>
          <t>Completion Net Debt</t>
        </is>
      </c>
      <c r="B12" s="8">
        <f>SUM(B5:B9)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0" customWidth="1" min="3" max="3"/>
  </cols>
  <sheetData>
    <row r="1" ht="24" customHeight="1">
      <c r="A1" s="1" t="inlineStr">
        <is>
          <t>COMPLETION WORKING CAPITAL</t>
        </is>
      </c>
    </row>
    <row r="2" ht="16" customHeight="1">
      <c r="A2" s="2" t="inlineStr">
        <is>
          <t>Estimated as at the Completion Date vs Target Working Capital £4,500,000  |  GBP</t>
        </is>
      </c>
    </row>
    <row r="4">
      <c r="A4" s="3" t="inlineStr">
        <is>
          <t>Component</t>
        </is>
      </c>
      <c r="B4" s="3" t="inlineStr">
        <is>
          <t>GBP</t>
        </is>
      </c>
      <c r="C4" s="3" t="inlineStr">
        <is>
          <t>Note</t>
        </is>
      </c>
    </row>
    <row r="5">
      <c r="A5" s="4" t="inlineStr">
        <is>
          <t>Trade and other receivables (net of provision)</t>
        </is>
      </c>
      <c r="B5" s="5" t="n">
        <v>2420000</v>
      </c>
      <c r="C5" s="4" t="inlineStr">
        <is>
          <t>Net of £60k bad-debt provision</t>
        </is>
      </c>
    </row>
    <row r="6">
      <c r="A6" s="4" t="inlineStr">
        <is>
          <t>Inventory (lower of cost and NRV)</t>
        </is>
      </c>
      <c r="B6" s="5" t="n">
        <v>2150000</v>
      </c>
      <c r="C6" s="4" t="inlineStr">
        <is>
          <t>Stock count 30/11/25</t>
        </is>
      </c>
    </row>
    <row r="7">
      <c r="A7" s="4" t="inlineStr">
        <is>
          <t>Prepayments and accrued income</t>
        </is>
      </c>
      <c r="B7" s="5" t="n">
        <v>330000</v>
      </c>
      <c r="C7" s="4" t="inlineStr">
        <is>
          <t>Ledger</t>
        </is>
      </c>
    </row>
    <row r="8">
      <c r="A8" s="4" t="inlineStr">
        <is>
          <t>Less: Trade and other payables</t>
        </is>
      </c>
      <c r="B8" s="5" t="n">
        <v>-980000</v>
      </c>
      <c r="C8" s="4" t="inlineStr">
        <is>
          <t>Purchase ledger</t>
        </is>
      </c>
    </row>
    <row r="9">
      <c r="A9" s="4" t="inlineStr">
        <is>
          <t>Less: Accruals and deferred income</t>
        </is>
      </c>
      <c r="B9" s="5" t="n">
        <v>-220000</v>
      </c>
      <c r="C9" s="4" t="inlineStr">
        <is>
          <t>Ledger</t>
        </is>
      </c>
    </row>
    <row r="10">
      <c r="A10" s="6" t="inlineStr">
        <is>
          <t>Actual Working Capital at Completion</t>
        </is>
      </c>
      <c r="B10" s="7">
        <f>SUM(B5:B9)</f>
        <v/>
      </c>
    </row>
    <row r="11">
      <c r="A11" s="4" t="inlineStr">
        <is>
          <t>Target Working Capital</t>
        </is>
      </c>
      <c r="B11" s="5" t="n">
        <v>4500000</v>
      </c>
    </row>
    <row r="12">
      <c r="A12" s="6" t="inlineStr">
        <is>
          <t>Working-capital shortfall (Target less Actual)</t>
        </is>
      </c>
      <c r="B12" s="8">
        <f>B11-B10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8" customWidth="1" min="4" max="4"/>
    <col width="20" customWidth="1" min="5" max="5"/>
  </cols>
  <sheetData>
    <row r="1" ht="24" customHeight="1">
      <c r="A1" s="1" t="inlineStr">
        <is>
          <t>ALLOCATION OF CONSIDERATION AMONG SELLERS</t>
        </is>
      </c>
    </row>
    <row r="2" ht="16" customHeight="1">
      <c r="A2" s="2" t="inlineStr">
        <is>
          <t>Apportioned per SPA Schedule 1, Part 1  |  GBP</t>
        </is>
      </c>
    </row>
    <row r="4">
      <c r="A4" s="3" t="inlineStr">
        <is>
          <t>Seller</t>
        </is>
      </c>
      <c r="B4" s="3" t="inlineStr">
        <is>
          <t>Holding %</t>
        </is>
      </c>
      <c r="C4" s="3" t="inlineStr">
        <is>
          <t>Equity value (GBP)</t>
        </is>
      </c>
      <c r="D4" s="3" t="inlineStr">
        <is>
          <t>Escrow 5% (GBP)</t>
        </is>
      </c>
      <c r="E4" s="3" t="inlineStr">
        <is>
          <t>Completion pay (GBP)</t>
        </is>
      </c>
    </row>
    <row r="5">
      <c r="A5" s="4" t="inlineStr">
        <is>
          <t>Robert Calder</t>
        </is>
      </c>
      <c r="B5" s="9" t="n">
        <v>0.65</v>
      </c>
      <c r="C5" s="5">
        <f>B5*Consideration!$B$8</f>
        <v/>
      </c>
      <c r="D5" s="5">
        <f>C5*0.05</f>
        <v/>
      </c>
      <c r="E5" s="5">
        <f>C5-D5</f>
        <v/>
      </c>
    </row>
    <row r="6">
      <c r="A6" s="4" t="inlineStr">
        <is>
          <t>Helen Calder</t>
        </is>
      </c>
      <c r="B6" s="9" t="n">
        <v>0.2</v>
      </c>
      <c r="C6" s="5">
        <f>B6*Consideration!$B$8</f>
        <v/>
      </c>
      <c r="D6" s="5">
        <f>C6*0.05</f>
        <v/>
      </c>
      <c r="E6" s="5">
        <f>C6-D6</f>
        <v/>
      </c>
    </row>
    <row r="7">
      <c r="A7" s="4" t="inlineStr">
        <is>
          <t>Calder Family Trust</t>
        </is>
      </c>
      <c r="B7" s="9" t="n">
        <v>0.15</v>
      </c>
      <c r="C7" s="5">
        <f>B7*Consideration!$B$8</f>
        <v/>
      </c>
      <c r="D7" s="5">
        <f>C7*0.05</f>
        <v/>
      </c>
      <c r="E7" s="5">
        <f>C7-D7</f>
        <v/>
      </c>
    </row>
    <row r="8">
      <c r="A8" s="6" t="inlineStr">
        <is>
          <t>Total</t>
        </is>
      </c>
      <c r="B8" s="10">
        <f>SUM(B5:B7)</f>
        <v/>
      </c>
      <c r="C8" s="7">
        <f>SUM(C5:C7)</f>
        <v/>
      </c>
      <c r="D8" s="7">
        <f>SUM(D5:D7)</f>
        <v/>
      </c>
      <c r="E8" s="7">
        <f>SUM(E5:E7)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2026-06-10T21:40:12Z</dcterms:created>
  <dcterms:modified xmlns:dcterms="http://purl.org/dc/terms/" xmlns:xsi="http://www.w3.org/2001/XMLSchema-instance" xsi:type="dcterms:W3CDTF">2026-06-10T21:40:12Z</dcterms:modified>
</cp:coreProperties>
</file>