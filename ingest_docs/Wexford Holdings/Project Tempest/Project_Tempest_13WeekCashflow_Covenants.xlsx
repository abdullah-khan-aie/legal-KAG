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-Week Cash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<sst xmlns="http://schemas.openxmlformats.org/spreadsheetml/2006/main" count="42" uniqueCount="42">
  <si>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Project Tempest — Rolling 13-Week Cashflow &amp; Covenant Headroom</t>
  </si>
  <si>
    <t xml:space="preserve">Wexford Consumer Brands Limited — Standstill period. All figures in £'000 unless stated.</t>
  </si>
  <si>
    <t xml:space="preserve">Prepared with Marlow Tax &amp; Advisory Ltd; delivered weekly to Sterling Commercial Bank plc under the Standstill Agreement.</t>
  </si>
  <si>
    <t xml:space="preserve">Week commencing</t>
  </si>
  <si>
    <t xml:space="preserve">01-Dec-25</t>
  </si>
  <si>
    <t xml:space="preserve">08-Dec-25</t>
  </si>
  <si>
    <t xml:space="preserve">15-Dec-25</t>
  </si>
  <si>
    <t xml:space="preserve">22-Dec-25</t>
  </si>
  <si>
    <t xml:space="preserve">29-Dec-25</t>
  </si>
  <si>
    <t xml:space="preserve">05-Jan-26</t>
  </si>
  <si>
    <t xml:space="preserve">12-Jan-26</t>
  </si>
  <si>
    <t xml:space="preserve">19-Jan-26</t>
  </si>
  <si>
    <t xml:space="preserve">26-Jan-26</t>
  </si>
  <si>
    <t xml:space="preserve">02-Feb-26</t>
  </si>
  <si>
    <t xml:space="preserve">09-Feb-26</t>
  </si>
  <si>
    <t xml:space="preserve">16-Feb-26</t>
  </si>
  <si>
    <t xml:space="preserve">23-Feb-26</t>
  </si>
  <si>
    <t xml:space="preserve">Week number</t>
  </si>
  <si>
    <t xml:space="preserve">Opening cash</t>
  </si>
  <si>
    <t xml:space="preserve">RECEIPTS</t>
  </si>
  <si>
    <t xml:space="preserve">Customer collections</t>
  </si>
  <si>
    <t xml:space="preserve">Other income</t>
  </si>
  <si>
    <t xml:space="preserve">Total receipts</t>
  </si>
  <si>
    <t xml:space="preserve">PAYMENTS</t>
  </si>
  <si>
    <t xml:space="preserve">Payroll &amp; PAYE-funded staff costs</t>
  </si>
  <si>
    <t xml:space="preserve">Trade &amp; supplier payments</t>
  </si>
  <si>
    <t xml:space="preserve">Rent, rates &amp; property</t>
  </si>
  <si>
    <t xml:space="preserve">VAT &amp; PAYE/NIC to HMRC</t>
  </si>
  <si>
    <t xml:space="preserve">Bank interest, fees &amp; standstill costs</t>
  </si>
  <si>
    <t xml:space="preserve">Capital expenditure</t>
  </si>
  <si>
    <t xml:space="preserve">Other operating payments</t>
  </si>
  <si>
    <t xml:space="preserve">Total payments</t>
  </si>
  <si>
    <t xml:space="preserve">Net operating cashflow</t>
  </si>
  <si>
    <t xml:space="preserve">Restructuring new money (net to balance sheet)</t>
  </si>
  <si>
    <t xml:space="preserve">Closing cash</t>
  </si>
  <si>
    <t xml:space="preserve">Minimum liquidity covenant (£'000)</t>
  </si>
  <si>
    <t xml:space="preserve">Headroom / (shortfall) vs covenant</t>
  </si>
  <si>
    <t xml:space="preserve">Notes:</t>
  </si>
  <si>
    <t xml:space="preserve">1. Opening cash (week 1) and all receipt/payment line items are inputs (blue); totals, net cashflow, closing cash and headroom are formulae.</t>
  </si>
  <si>
    <t xml:space="preserve">2. The £2.5m minimum liquidity covenant applies from completion of the amendment &amp; restatement; during the standstill the group is below covenant, which is the rationale for the new money.</t>
  </si>
  <si>
    <t xml:space="preserve">3. Restructuring new money of £8.0m (net cash to balance sheet per the completion funds flow) is received in the week of completion (w/c 23-Feb-26).</t>
  </si>
  <si>
    <t xml:space="preserve">4. Payroll is paid on a four-weekly cycle; quarterly rent and bank interest fall in weeks 1/13 and week 6 respectively; quarterly VAT falls in week 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</si>
</sst>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AA5B1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6" t="n">
        <v>1</v>
      </c>
      <c r="C6" s="6" t="n">
        <v>2</v>
      </c>
      <c r="D6" s="6" t="n">
        <v>3</v>
      </c>
      <c r="E6" s="6" t="n">
        <v>4</v>
      </c>
      <c r="F6" s="6" t="n">
        <v>5</v>
      </c>
      <c r="G6" s="6" t="n">
        <v>6</v>
      </c>
      <c r="H6" s="6" t="n">
        <v>7</v>
      </c>
      <c r="I6" s="6" t="n">
        <v>8</v>
      </c>
      <c r="J6" s="6" t="n">
        <v>9</v>
      </c>
      <c r="K6" s="6" t="n">
        <v>10</v>
      </c>
      <c r="L6" s="6" t="n">
        <v>11</v>
      </c>
      <c r="M6" s="6" t="n">
        <v>12</v>
      </c>
      <c r="N6" s="6" t="n">
        <v>13</v>
      </c>
    </row>
    <row r="7" customFormat="false" ht="15" hidden="false" customHeight="false" outlineLevel="0" collapsed="false">
      <c r="A7" s="7" t="s">
        <v>18</v>
      </c>
      <c r="B7" s="8" t="n">
        <v>1250</v>
      </c>
      <c r="C7" s="8" t="n">
        <f aca="false">B23</f>
        <v>1380</v>
      </c>
      <c r="D7" s="8" t="n">
        <f aca="false">C23</f>
        <v>1760</v>
      </c>
      <c r="E7" s="8" t="n">
        <f aca="false">D23</f>
        <v>2375</v>
      </c>
      <c r="F7" s="8" t="n">
        <f aca="false">E23</f>
        <v>1840</v>
      </c>
      <c r="G7" s="8" t="n">
        <f aca="false">F23</f>
        <v>1810</v>
      </c>
      <c r="H7" s="8" t="n">
        <f aca="false">G23</f>
        <v>1805</v>
      </c>
      <c r="I7" s="8" t="n">
        <f aca="false">H23</f>
        <v>2120</v>
      </c>
      <c r="J7" s="8" t="n">
        <f aca="false">I23</f>
        <v>1675</v>
      </c>
      <c r="K7" s="8" t="n">
        <f aca="false">J23</f>
        <v>2157</v>
      </c>
      <c r="L7" s="8" t="n">
        <f aca="false">K23</f>
        <v>2842</v>
      </c>
      <c r="M7" s="8" t="n">
        <f aca="false">L23</f>
        <v>3509</v>
      </c>
      <c r="N7" s="8" t="n">
        <f aca="false">M23</f>
        <v>3269</v>
      </c>
    </row>
    <row r="8" customFormat="false" ht="15" hidden="false" customHeight="false" outlineLevel="0" collapsed="false">
      <c r="A8" s="9" t="s">
        <v>19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10" t="s">
        <v>20</v>
      </c>
      <c r="B9" s="8" t="n">
        <v>1150</v>
      </c>
      <c r="C9" s="8" t="n">
        <v>1080</v>
      </c>
      <c r="D9" s="8" t="n">
        <v>1210</v>
      </c>
      <c r="E9" s="8" t="n">
        <v>990</v>
      </c>
      <c r="F9" s="8" t="n">
        <v>1130</v>
      </c>
      <c r="G9" s="8" t="n">
        <v>1015</v>
      </c>
      <c r="H9" s="8" t="n">
        <v>940</v>
      </c>
      <c r="I9" s="8" t="n">
        <v>1075</v>
      </c>
      <c r="J9" s="8" t="n">
        <v>1190</v>
      </c>
      <c r="K9" s="8" t="n">
        <v>1240</v>
      </c>
      <c r="L9" s="8" t="n">
        <v>1305</v>
      </c>
      <c r="M9" s="8" t="n">
        <v>1280</v>
      </c>
      <c r="N9" s="8" t="n">
        <v>1360</v>
      </c>
    </row>
    <row r="10" customFormat="false" ht="15" hidden="false" customHeight="false" outlineLevel="0" collapsed="false">
      <c r="A10" s="10" t="s">
        <v>21</v>
      </c>
      <c r="B10" s="8" t="n">
        <v>40</v>
      </c>
      <c r="C10" s="8" t="n">
        <v>25</v>
      </c>
      <c r="D10" s="8" t="n">
        <v>35</v>
      </c>
      <c r="E10" s="8" t="n">
        <v>30</v>
      </c>
      <c r="F10" s="8" t="n">
        <v>28</v>
      </c>
      <c r="G10" s="8" t="n">
        <v>22</v>
      </c>
      <c r="H10" s="8" t="n">
        <v>45</v>
      </c>
      <c r="I10" s="8" t="n">
        <v>30</v>
      </c>
      <c r="J10" s="8" t="n">
        <v>26</v>
      </c>
      <c r="K10" s="8" t="n">
        <v>33</v>
      </c>
      <c r="L10" s="8" t="n">
        <v>38</v>
      </c>
      <c r="M10" s="8" t="n">
        <v>30</v>
      </c>
      <c r="N10" s="8" t="n">
        <v>42</v>
      </c>
    </row>
    <row r="11" customFormat="false" ht="15" hidden="false" customHeight="false" outlineLevel="0" collapsed="false">
      <c r="A11" s="7" t="s">
        <v>22</v>
      </c>
      <c r="B11" s="11" t="n">
        <f aca="false">SUM(B9:B10)</f>
        <v>1190</v>
      </c>
      <c r="C11" s="11" t="n">
        <f aca="false">SUM(C9:C10)</f>
        <v>1105</v>
      </c>
      <c r="D11" s="11" t="n">
        <f aca="false">SUM(D9:D10)</f>
        <v>1245</v>
      </c>
      <c r="E11" s="11" t="n">
        <f aca="false">SUM(E9:E10)</f>
        <v>1020</v>
      </c>
      <c r="F11" s="11" t="n">
        <f aca="false">SUM(F9:F10)</f>
        <v>1158</v>
      </c>
      <c r="G11" s="11" t="n">
        <f aca="false">SUM(G9:G10)</f>
        <v>1037</v>
      </c>
      <c r="H11" s="11" t="n">
        <f aca="false">SUM(H9:H10)</f>
        <v>985</v>
      </c>
      <c r="I11" s="11" t="n">
        <f aca="false">SUM(I9:I10)</f>
        <v>1105</v>
      </c>
      <c r="J11" s="11" t="n">
        <f aca="false">SUM(J9:J10)</f>
        <v>1216</v>
      </c>
      <c r="K11" s="11" t="n">
        <f aca="false">SUM(K9:K10)</f>
        <v>1273</v>
      </c>
      <c r="L11" s="11" t="n">
        <f aca="false">SUM(L9:L10)</f>
        <v>1343</v>
      </c>
      <c r="M11" s="11" t="n">
        <f aca="false">SUM(M9:M10)</f>
        <v>1310</v>
      </c>
      <c r="N11" s="11" t="n">
        <f aca="false">SUM(N9:N10)</f>
        <v>1402</v>
      </c>
    </row>
    <row r="12" customFormat="false" ht="15" hidden="false" customHeight="false" outlineLevel="0" collapsed="false">
      <c r="A12" s="9" t="s">
        <v>23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" hidden="false" customHeight="false" outlineLevel="0" collapsed="false">
      <c r="A13" s="10" t="s">
        <v>24</v>
      </c>
      <c r="B13" s="8" t="n">
        <v>60</v>
      </c>
      <c r="C13" s="8" t="n">
        <v>60</v>
      </c>
      <c r="D13" s="8" t="n">
        <v>60</v>
      </c>
      <c r="E13" s="8" t="n">
        <v>780</v>
      </c>
      <c r="F13" s="8" t="n">
        <v>60</v>
      </c>
      <c r="G13" s="8" t="n">
        <v>60</v>
      </c>
      <c r="H13" s="8" t="n">
        <v>60</v>
      </c>
      <c r="I13" s="8" t="n">
        <v>780</v>
      </c>
      <c r="J13" s="8" t="n">
        <v>60</v>
      </c>
      <c r="K13" s="8" t="n">
        <v>60</v>
      </c>
      <c r="L13" s="8" t="n">
        <v>60</v>
      </c>
      <c r="M13" s="8" t="n">
        <v>780</v>
      </c>
      <c r="N13" s="8" t="n">
        <v>60</v>
      </c>
    </row>
    <row r="14" customFormat="false" ht="15" hidden="false" customHeight="false" outlineLevel="0" collapsed="false">
      <c r="A14" s="10" t="s">
        <v>25</v>
      </c>
      <c r="B14" s="8" t="n">
        <v>520</v>
      </c>
      <c r="C14" s="8" t="n">
        <v>610</v>
      </c>
      <c r="D14" s="8" t="n">
        <v>470</v>
      </c>
      <c r="E14" s="8" t="n">
        <v>560</v>
      </c>
      <c r="F14" s="8" t="n">
        <v>640</v>
      </c>
      <c r="G14" s="8" t="n">
        <v>590</v>
      </c>
      <c r="H14" s="8" t="n">
        <v>505</v>
      </c>
      <c r="I14" s="8" t="n">
        <v>560</v>
      </c>
      <c r="J14" s="8" t="n">
        <v>610</v>
      </c>
      <c r="K14" s="8" t="n">
        <v>470</v>
      </c>
      <c r="L14" s="8" t="n">
        <v>520</v>
      </c>
      <c r="M14" s="8" t="n">
        <v>560</v>
      </c>
      <c r="N14" s="8" t="n">
        <v>600</v>
      </c>
    </row>
    <row r="15" customFormat="false" ht="15" hidden="false" customHeight="false" outlineLevel="0" collapsed="false">
      <c r="A15" s="10" t="s">
        <v>26</v>
      </c>
      <c r="B15" s="8" t="n">
        <v>310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310</v>
      </c>
    </row>
    <row r="16" customFormat="false" ht="15" hidden="false" customHeight="false" outlineLevel="0" collapsed="false">
      <c r="A16" s="10" t="s">
        <v>27</v>
      </c>
      <c r="B16" s="8" t="n">
        <v>0</v>
      </c>
      <c r="C16" s="8" t="n">
        <v>0</v>
      </c>
      <c r="D16" s="8" t="n">
        <v>0</v>
      </c>
      <c r="E16" s="8" t="n">
        <v>150</v>
      </c>
      <c r="F16" s="8" t="n">
        <v>430</v>
      </c>
      <c r="G16" s="8" t="n">
        <v>0</v>
      </c>
      <c r="H16" s="8" t="n">
        <v>0</v>
      </c>
      <c r="I16" s="8" t="n">
        <v>150</v>
      </c>
      <c r="J16" s="8" t="n">
        <v>0</v>
      </c>
      <c r="K16" s="8" t="n">
        <v>0</v>
      </c>
      <c r="L16" s="8" t="n">
        <v>0</v>
      </c>
      <c r="M16" s="8" t="n">
        <v>150</v>
      </c>
      <c r="N16" s="8" t="n">
        <v>0</v>
      </c>
    </row>
    <row r="17" customFormat="false" ht="15" hidden="false" customHeight="false" outlineLevel="0" collapsed="false">
      <c r="A17" s="10" t="s">
        <v>28</v>
      </c>
      <c r="B17" s="8" t="n">
        <v>100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330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</row>
    <row r="18" customFormat="false" ht="15" hidden="false" customHeight="false" outlineLevel="0" collapsed="false">
      <c r="A18" s="10" t="s">
        <v>29</v>
      </c>
      <c r="B18" s="8" t="n">
        <v>0</v>
      </c>
      <c r="C18" s="8" t="n">
        <v>0</v>
      </c>
      <c r="D18" s="8" t="n">
        <v>40</v>
      </c>
      <c r="E18" s="8" t="n">
        <v>0</v>
      </c>
      <c r="F18" s="8" t="n">
        <v>0</v>
      </c>
      <c r="G18" s="8" t="n">
        <v>0</v>
      </c>
      <c r="H18" s="8" t="n">
        <v>35</v>
      </c>
      <c r="I18" s="8" t="n">
        <v>0</v>
      </c>
      <c r="J18" s="8" t="n">
        <v>0</v>
      </c>
      <c r="K18" s="8" t="n">
        <v>0</v>
      </c>
      <c r="L18" s="8" t="n">
        <v>30</v>
      </c>
      <c r="M18" s="8" t="n">
        <v>0</v>
      </c>
      <c r="N18" s="8" t="n">
        <v>0</v>
      </c>
    </row>
    <row r="19" customFormat="false" ht="15" hidden="false" customHeight="false" outlineLevel="0" collapsed="false">
      <c r="A19" s="10" t="s">
        <v>30</v>
      </c>
      <c r="B19" s="8" t="n">
        <v>70</v>
      </c>
      <c r="C19" s="8" t="n">
        <v>55</v>
      </c>
      <c r="D19" s="8" t="n">
        <v>60</v>
      </c>
      <c r="E19" s="8" t="n">
        <v>65</v>
      </c>
      <c r="F19" s="8" t="n">
        <v>58</v>
      </c>
      <c r="G19" s="8" t="n">
        <v>62</v>
      </c>
      <c r="H19" s="8" t="n">
        <v>70</v>
      </c>
      <c r="I19" s="8" t="n">
        <v>60</v>
      </c>
      <c r="J19" s="8" t="n">
        <v>64</v>
      </c>
      <c r="K19" s="8" t="n">
        <v>58</v>
      </c>
      <c r="L19" s="8" t="n">
        <v>66</v>
      </c>
      <c r="M19" s="8" t="n">
        <v>60</v>
      </c>
      <c r="N19" s="8" t="n">
        <v>70</v>
      </c>
    </row>
    <row r="20" customFormat="false" ht="15" hidden="false" customHeight="false" outlineLevel="0" collapsed="false">
      <c r="A20" s="7" t="s">
        <v>31</v>
      </c>
      <c r="B20" s="11" t="n">
        <f aca="false">SUM(B13:B19)</f>
        <v>1060</v>
      </c>
      <c r="C20" s="11" t="n">
        <f aca="false">SUM(C13:C19)</f>
        <v>725</v>
      </c>
      <c r="D20" s="11" t="n">
        <f aca="false">SUM(D13:D19)</f>
        <v>630</v>
      </c>
      <c r="E20" s="11" t="n">
        <f aca="false">SUM(E13:E19)</f>
        <v>1555</v>
      </c>
      <c r="F20" s="11" t="n">
        <f aca="false">SUM(F13:F19)</f>
        <v>1188</v>
      </c>
      <c r="G20" s="11" t="n">
        <f aca="false">SUM(G13:G19)</f>
        <v>1042</v>
      </c>
      <c r="H20" s="11" t="n">
        <f aca="false">SUM(H13:H19)</f>
        <v>670</v>
      </c>
      <c r="I20" s="11" t="n">
        <f aca="false">SUM(I13:I19)</f>
        <v>1550</v>
      </c>
      <c r="J20" s="11" t="n">
        <f aca="false">SUM(J13:J19)</f>
        <v>734</v>
      </c>
      <c r="K20" s="11" t="n">
        <f aca="false">SUM(K13:K19)</f>
        <v>588</v>
      </c>
      <c r="L20" s="11" t="n">
        <f aca="false">SUM(L13:L19)</f>
        <v>676</v>
      </c>
      <c r="M20" s="11" t="n">
        <f aca="false">SUM(M13:M19)</f>
        <v>1550</v>
      </c>
      <c r="N20" s="11" t="n">
        <f aca="false">SUM(N13:N19)</f>
        <v>1040</v>
      </c>
    </row>
    <row r="21" customFormat="false" ht="15" hidden="false" customHeight="false" outlineLevel="0" collapsed="false">
      <c r="A21" s="7" t="s">
        <v>32</v>
      </c>
      <c r="B21" s="11" t="n">
        <f aca="false">B11-B20</f>
        <v>130</v>
      </c>
      <c r="C21" s="11" t="n">
        <f aca="false">C11-C20</f>
        <v>380</v>
      </c>
      <c r="D21" s="11" t="n">
        <f aca="false">D11-D20</f>
        <v>615</v>
      </c>
      <c r="E21" s="11" t="n">
        <f aca="false">E11-E20</f>
        <v>-535</v>
      </c>
      <c r="F21" s="11" t="n">
        <f aca="false">F11-F20</f>
        <v>-30</v>
      </c>
      <c r="G21" s="11" t="n">
        <f aca="false">G11-G20</f>
        <v>-5</v>
      </c>
      <c r="H21" s="11" t="n">
        <f aca="false">H11-H20</f>
        <v>315</v>
      </c>
      <c r="I21" s="11" t="n">
        <f aca="false">I11-I20</f>
        <v>-445</v>
      </c>
      <c r="J21" s="11" t="n">
        <f aca="false">J11-J20</f>
        <v>482</v>
      </c>
      <c r="K21" s="11" t="n">
        <f aca="false">K11-K20</f>
        <v>685</v>
      </c>
      <c r="L21" s="11" t="n">
        <f aca="false">L11-L20</f>
        <v>667</v>
      </c>
      <c r="M21" s="11" t="n">
        <f aca="false">M11-M20</f>
        <v>-240</v>
      </c>
      <c r="N21" s="11" t="n">
        <f aca="false">N11-N20</f>
        <v>362</v>
      </c>
    </row>
    <row r="22" customFormat="false" ht="15" hidden="false" customHeight="false" outlineLevel="0" collapsed="false">
      <c r="A22" s="10" t="s">
        <v>33</v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8000</v>
      </c>
    </row>
    <row r="23" customFormat="false" ht="15" hidden="false" customHeight="false" outlineLevel="0" collapsed="false">
      <c r="A23" s="12" t="s">
        <v>34</v>
      </c>
      <c r="B23" s="13" t="n">
        <f aca="false">B7+B21+B22</f>
        <v>1380</v>
      </c>
      <c r="C23" s="13" t="n">
        <f aca="false">C7+C21+C22</f>
        <v>1760</v>
      </c>
      <c r="D23" s="13" t="n">
        <f aca="false">D7+D21+D22</f>
        <v>2375</v>
      </c>
      <c r="E23" s="13" t="n">
        <f aca="false">E7+E21+E22</f>
        <v>1840</v>
      </c>
      <c r="F23" s="13" t="n">
        <f aca="false">F7+F21+F22</f>
        <v>1810</v>
      </c>
      <c r="G23" s="13" t="n">
        <f aca="false">G7+G21+G22</f>
        <v>1805</v>
      </c>
      <c r="H23" s="13" t="n">
        <f aca="false">H7+H21+H22</f>
        <v>2120</v>
      </c>
      <c r="I23" s="13" t="n">
        <f aca="false">I7+I21+I22</f>
        <v>1675</v>
      </c>
      <c r="J23" s="13" t="n">
        <f aca="false">J7+J21+J22</f>
        <v>2157</v>
      </c>
      <c r="K23" s="13" t="n">
        <f aca="false">K7+K21+K22</f>
        <v>2842</v>
      </c>
      <c r="L23" s="13" t="n">
        <f aca="false">L7+L21+L22</f>
        <v>3509</v>
      </c>
      <c r="M23" s="13" t="n">
        <f aca="false">M7+M21+M22</f>
        <v>3269</v>
      </c>
      <c r="N23" s="13" t="n">
        <f aca="false">N7+N21+N22</f>
        <v>11631</v>
      </c>
    </row>
    <row r="24" customFormat="false" ht="15" hidden="false" customHeight="false" outlineLevel="0" collapsed="false">
      <c r="A24" s="10" t="s">
        <v>35</v>
      </c>
      <c r="B24" s="8" t="n">
        <v>2500</v>
      </c>
      <c r="C24" s="8" t="n">
        <v>2500</v>
      </c>
      <c r="D24" s="8" t="n">
        <v>2500</v>
      </c>
      <c r="E24" s="8" t="n">
        <v>2500</v>
      </c>
      <c r="F24" s="8" t="n">
        <v>2500</v>
      </c>
      <c r="G24" s="8" t="n">
        <v>2500</v>
      </c>
      <c r="H24" s="8" t="n">
        <v>2500</v>
      </c>
      <c r="I24" s="8" t="n">
        <v>2500</v>
      </c>
      <c r="J24" s="8" t="n">
        <v>2500</v>
      </c>
      <c r="K24" s="8" t="n">
        <v>2500</v>
      </c>
      <c r="L24" s="8" t="n">
        <v>2500</v>
      </c>
      <c r="M24" s="8" t="n">
        <v>2500</v>
      </c>
      <c r="N24" s="8" t="n">
        <v>2500</v>
      </c>
    </row>
    <row r="25" customFormat="false" ht="15" hidden="false" customHeight="false" outlineLevel="0" collapsed="false">
      <c r="A25" s="7" t="s">
        <v>36</v>
      </c>
      <c r="B25" s="11" t="n">
        <f aca="false">B23-B24</f>
        <v>-1120</v>
      </c>
      <c r="C25" s="11" t="n">
        <f aca="false">C23-C24</f>
        <v>-740</v>
      </c>
      <c r="D25" s="11" t="n">
        <f aca="false">D23-D24</f>
        <v>-125</v>
      </c>
      <c r="E25" s="11" t="n">
        <f aca="false">E23-E24</f>
        <v>-660</v>
      </c>
      <c r="F25" s="11" t="n">
        <f aca="false">F23-F24</f>
        <v>-690</v>
      </c>
      <c r="G25" s="11" t="n">
        <f aca="false">G23-G24</f>
        <v>-695</v>
      </c>
      <c r="H25" s="11" t="n">
        <f aca="false">H23-H24</f>
        <v>-380</v>
      </c>
      <c r="I25" s="11" t="n">
        <f aca="false">I23-I24</f>
        <v>-825</v>
      </c>
      <c r="J25" s="11" t="n">
        <f aca="false">J23-J24</f>
        <v>-343</v>
      </c>
      <c r="K25" s="11" t="n">
        <f aca="false">K23-K24</f>
        <v>342</v>
      </c>
      <c r="L25" s="11" t="n">
        <f aca="false">L23-L24</f>
        <v>1009</v>
      </c>
      <c r="M25" s="11" t="n">
        <f aca="false">M23-M24</f>
        <v>769</v>
      </c>
      <c r="N25" s="11" t="n">
        <f aca="false">N23-N24</f>
        <v>9131</v>
      </c>
    </row>
    <row r="27" customFormat="false" ht="15" hidden="false" customHeight="false" outlineLevel="0" collapsed="false">
      <c r="A27" s="2" t="s">
        <v>37</v>
      </c>
    </row>
    <row r="28" customFormat="false" ht="15" hidden="false" customHeight="false" outlineLevel="0" collapsed="false">
      <c r="A28" s="2" t="s">
        <v>38</v>
      </c>
    </row>
    <row r="29" customFormat="false" ht="15" hidden="false" customHeight="false" outlineLevel="0" collapsed="false">
      <c r="A29" s="2" t="s">
        <v>39</v>
      </c>
    </row>
    <row r="30" customFormat="false" ht="15" hidden="false" customHeight="false" outlineLevel="0" collapsed="false">
      <c r="A30" s="2" t="s">
        <v>40</v>
      </c>
    </row>
    <row r="31" customFormat="false" ht="15" hidden="false" customHeight="false" outlineLevel="0" collapsed="false">
      <c r="A31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2026-06-10T23:16:50Z</dcterms:created>
  <dc:creator>openpyxl</dc:creator>
  <dc:description/>
  <dc:language>en-US</dc:language>
  <cp:lastModifiedBy/>
  <dcterms:modified xsi:type="dcterms:W3CDTF">2026-06-10T23:16:50Z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