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ion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1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18" customWidth="1" min="3" max="3"/>
  </cols>
  <sheetData>
    <row r="1">
      <c r="A1" s="1" t="inlineStr">
        <is>
          <t>Project Quartz — Completion Statement (estimated)</t>
        </is>
      </c>
    </row>
    <row r="2">
      <c r="A2" s="2" t="inlineStr">
        <is>
          <t>Cash-free / debt-free bridge from Enterprise Value to Completion Payment</t>
        </is>
      </c>
    </row>
    <row r="4">
      <c r="A4" s="3" t="inlineStr">
        <is>
          <t>Item</t>
        </is>
      </c>
      <c r="B4" s="3" t="inlineStr">
        <is>
          <t>Note</t>
        </is>
      </c>
      <c r="C4" s="3" t="inlineStr">
        <is>
          <t>£</t>
        </is>
      </c>
    </row>
    <row r="5">
      <c r="A5" s="4" t="inlineStr">
        <is>
          <t>Enterprise value</t>
        </is>
      </c>
      <c r="B5" s="4" t="inlineStr">
        <is>
          <t>Per SPA clause 3</t>
        </is>
      </c>
      <c r="C5" s="5" t="n">
        <v>42500000</v>
      </c>
    </row>
    <row r="6">
      <c r="A6" s="4" t="inlineStr">
        <is>
          <t>less: Estimated net debt</t>
        </is>
      </c>
      <c r="B6" s="4" t="inlineStr">
        <is>
          <t>Sch 6</t>
        </is>
      </c>
      <c r="C6" s="5" t="n">
        <v>-3750000</v>
      </c>
    </row>
    <row r="7">
      <c r="A7" s="6" t="inlineStr">
        <is>
          <t>Equity value (Consideration)</t>
        </is>
      </c>
      <c r="B7" s="6">
        <f> EV - net debt</f>
        <v/>
      </c>
      <c r="C7" s="7">
        <f>C5+C6</f>
        <v/>
      </c>
    </row>
    <row r="8">
      <c r="A8" s="4" t="inlineStr">
        <is>
          <t xml:space="preserve">  of which: Completion Payment</t>
        </is>
      </c>
      <c r="B8" s="4" t="inlineStr">
        <is>
          <t>Paid at completion</t>
        </is>
      </c>
      <c r="C8" s="5" t="n">
        <v>35250000</v>
      </c>
    </row>
    <row r="9">
      <c r="A9" s="4" t="inlineStr">
        <is>
          <t xml:space="preserve">  of which: Retention Amount</t>
        </is>
      </c>
      <c r="B9" s="4" t="inlineStr">
        <is>
          <t>Held 12 months</t>
        </is>
      </c>
      <c r="C9" s="5" t="n">
        <v>1500000</v>
      </c>
    </row>
    <row r="10">
      <c r="A10" s="4" t="inlineStr">
        <is>
          <t xml:space="preserve">  of which: Deferred Consideration</t>
        </is>
      </c>
      <c r="B10" s="4" t="inlineStr">
        <is>
          <t>1st anniversary</t>
        </is>
      </c>
      <c r="C10" s="5" t="n">
        <v>2000000</v>
      </c>
    </row>
    <row r="13">
      <c r="A13" s="8" t="inlineStr">
        <is>
          <t>Estimated net debt breakdown</t>
        </is>
      </c>
      <c r="B13" s="4" t="n"/>
      <c r="C13" s="4" t="n"/>
    </row>
    <row r="14">
      <c r="A14" s="4" t="inlineStr">
        <is>
          <t>Bank overdraft &amp; term loan</t>
        </is>
      </c>
      <c r="B14" s="4" t="n"/>
      <c r="C14" s="5" t="n">
        <v>-2890000</v>
      </c>
    </row>
    <row r="15">
      <c r="A15" s="4" t="inlineStr">
        <is>
          <t>Finance lease (vacuum brazing furnace, Pennine AF)</t>
        </is>
      </c>
      <c r="B15" s="4" t="n"/>
      <c r="C15" s="5" t="n">
        <v>-214000</v>
      </c>
    </row>
    <row r="16">
      <c r="A16" s="4" t="inlineStr">
        <is>
          <t>Corporation tax accrued (incl. R&amp;D enquiry provision)</t>
        </is>
      </c>
      <c r="B16" s="4" t="n"/>
      <c r="C16" s="5" t="n">
        <v>-461000</v>
      </c>
    </row>
    <row r="17">
      <c r="A17" s="4" t="inlineStr">
        <is>
          <t>Director loan accounts</t>
        </is>
      </c>
      <c r="B17" s="4" t="n"/>
      <c r="C17" s="5" t="n">
        <v>-310000</v>
      </c>
    </row>
    <row r="18">
      <c r="A18" s="4" t="inlineStr">
        <is>
          <t>less: Cash at bank</t>
        </is>
      </c>
      <c r="B18" s="4" t="n"/>
      <c r="C18" s="5" t="n">
        <v>125000</v>
      </c>
    </row>
    <row r="19">
      <c r="A19" s="8" t="inlineStr">
        <is>
          <t>Total net debt</t>
        </is>
      </c>
      <c r="B19" s="4" t="n"/>
      <c r="C19" s="9">
        <f>SUM(C14:C18)</f>
        <v/>
      </c>
    </row>
    <row r="21">
      <c r="A21" s="8" t="inlineStr">
        <is>
          <t>Working capital target vs estimate</t>
        </is>
      </c>
      <c r="B21" s="4" t="n"/>
      <c r="C21" s="4" t="n"/>
    </row>
    <row r="22">
      <c r="A22" s="4" t="inlineStr">
        <is>
          <t>Target working capital (SPA cl 4.2)</t>
        </is>
      </c>
      <c r="B22" s="4" t="n"/>
      <c r="C22" s="5" t="n">
        <v>2150000</v>
      </c>
    </row>
    <row r="23">
      <c r="A23" s="4" t="inlineStr">
        <is>
          <t>Estimated actual working capital at completion</t>
        </is>
      </c>
      <c r="B23" s="4" t="n"/>
      <c r="C23" s="5" t="n">
        <v>2196000</v>
      </c>
    </row>
    <row r="24">
      <c r="A24" s="8" t="inlineStr">
        <is>
          <t>Estimated WC surplus to Sellers</t>
        </is>
      </c>
      <c r="B24" s="4" t="n"/>
      <c r="C24" s="9" t="n">
        <v>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2026-06-30T11:12:48Z</dcterms:created>
  <dcterms:modified xmlns:dcterms="http://purl.org/dc/terms/" xmlns:xsi="http://www.w3.org/2001/XMLSchema-instance" xsi:type="dcterms:W3CDTF">2026-06-30T11:12:48Z</dcterms:modified>
</cp:coreProperties>
</file>