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£&quot;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sz val="10"/>
    </font>
    <font>
      <b val="1"/>
      <color rgb="00FFFFFF"/>
      <sz val="11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1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3" borderId="1" pivotButton="0" quotePrefix="0" xfId="0"/>
    <xf numFmtId="0" fontId="0" fillId="3" borderId="1" pivotButton="0" quotePrefix="0" xfId="0"/>
    <xf numFmtId="3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8" customWidth="1" min="4" max="4"/>
    <col width="20" customWidth="1" min="5" max="5"/>
  </cols>
  <sheetData>
    <row r="1">
      <c r="A1" s="1" t="inlineStr">
        <is>
          <t>Project Quartz — Whitmore Thermal Components Limited</t>
        </is>
      </c>
    </row>
    <row r="2">
      <c r="A2" s="2" t="inlineStr">
        <is>
          <t>Capitalisation table — pre-completion (fully diluted, on EMI exercise)</t>
        </is>
      </c>
      <c r="F2" t="n">
        <v>38750000</v>
      </c>
    </row>
    <row r="3">
      <c r="A3" s="3" t="inlineStr">
        <is>
          <t>Equity value to be paid for 100% of Shares: £38,750,000</t>
        </is>
      </c>
    </row>
    <row r="5">
      <c r="A5" s="4" t="inlineStr">
        <is>
          <t>Shareholder</t>
        </is>
      </c>
      <c r="B5" s="4" t="inlineStr">
        <is>
          <t>Class</t>
        </is>
      </c>
      <c r="C5" s="4" t="inlineStr">
        <is>
          <t>Shares</t>
        </is>
      </c>
      <c r="D5" s="4" t="inlineStr">
        <is>
          <t>% (fully diluted)</t>
        </is>
      </c>
      <c r="E5" s="4" t="inlineStr">
        <is>
          <t>Consideration (£)</t>
        </is>
      </c>
    </row>
    <row r="6">
      <c r="A6" s="5" t="inlineStr">
        <is>
          <t>Geoffrey Whitmore</t>
        </is>
      </c>
      <c r="B6" s="5" t="inlineStr">
        <is>
          <t>Ordinary £0.01</t>
        </is>
      </c>
      <c r="C6" s="6" t="n">
        <v>620000</v>
      </c>
      <c r="D6" s="7">
        <f>C6/$C$10</f>
        <v/>
      </c>
      <c r="E6" s="8">
        <f>ROUND($F$2*D6,0)</f>
        <v/>
      </c>
    </row>
    <row r="7">
      <c r="A7" s="5" t="inlineStr">
        <is>
          <t>Sandra Whitmore</t>
        </is>
      </c>
      <c r="B7" s="5" t="inlineStr">
        <is>
          <t>Ordinary £0.01</t>
        </is>
      </c>
      <c r="C7" s="6" t="n">
        <v>180000</v>
      </c>
      <c r="D7" s="7">
        <f>C7/$C$10</f>
        <v/>
      </c>
      <c r="E7" s="8">
        <f>ROUND($F$2*D7,0)</f>
        <v/>
      </c>
    </row>
    <row r="8">
      <c r="A8" s="5" t="inlineStr">
        <is>
          <t>Paul Easterbrook</t>
        </is>
      </c>
      <c r="B8" s="5" t="inlineStr">
        <is>
          <t>Ordinary £0.01</t>
        </is>
      </c>
      <c r="C8" s="6" t="n">
        <v>120000</v>
      </c>
      <c r="D8" s="7">
        <f>C8/$C$10</f>
        <v/>
      </c>
      <c r="E8" s="8">
        <f>ROUND($F$2*D8,0)</f>
        <v/>
      </c>
    </row>
    <row r="9">
      <c r="A9" s="5" t="inlineStr">
        <is>
          <t>EMI option holders (8) — on exercise</t>
        </is>
      </c>
      <c r="B9" s="5" t="inlineStr">
        <is>
          <t>Ordinary £0.01</t>
        </is>
      </c>
      <c r="C9" s="6" t="n">
        <v>80000</v>
      </c>
      <c r="D9" s="7">
        <f>C9/$C$10</f>
        <v/>
      </c>
      <c r="E9" s="8">
        <f>ROUND($F$2*D9,0)</f>
        <v/>
      </c>
    </row>
    <row r="10">
      <c r="A10" s="9" t="inlineStr">
        <is>
          <t>TOTAL</t>
        </is>
      </c>
      <c r="B10" s="10" t="n"/>
      <c r="C10" s="11">
        <f>SUM(C6:C9)</f>
        <v/>
      </c>
      <c r="D10" s="12">
        <f>SUM(D6:D9)</f>
        <v/>
      </c>
      <c r="E10" s="13">
        <f>SUM(E6:E9)</f>
        <v/>
      </c>
    </row>
    <row r="12">
      <c r="A12" s="14" t="inlineStr">
        <is>
          <t>Consideration is settled as: Completion Payment £35,250,000 + Retention £1,500,000 + Deferred £2,000,000 = £38,750,000.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2026-06-30T11:12:48Z</dcterms:created>
  <dcterms:modified xmlns:dcterms="http://purl.org/dc/terms/" xmlns:xsi="http://www.w3.org/2001/XMLSchema-instance" xsi:type="dcterms:W3CDTF">2026-06-30T11:12:48Z</dcterms:modified>
</cp:coreProperties>
</file>