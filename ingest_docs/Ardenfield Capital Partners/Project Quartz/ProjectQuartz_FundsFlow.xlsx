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1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8" customWidth="1" min="3" max="3"/>
    <col width="38" customWidth="1" min="4" max="4"/>
    <col width="18" customWidth="1" min="5" max="5"/>
  </cols>
  <sheetData>
    <row r="1">
      <c r="A1" s="1" t="inlineStr">
        <is>
          <t>Project Quartz — Funds Flow Statement</t>
        </is>
      </c>
    </row>
    <row r="2">
      <c r="A2" s="2" t="inlineStr">
        <is>
          <t>Completion: 13 February 2026 | Buyer: Ardenfield Quartz Bidco Limited</t>
        </is>
      </c>
    </row>
    <row r="4">
      <c r="A4" s="3" t="inlineStr">
        <is>
          <t>#</t>
        </is>
      </c>
      <c r="B4" s="3" t="inlineStr">
        <is>
          <t>Payer</t>
        </is>
      </c>
      <c r="C4" s="3" t="inlineStr">
        <is>
          <t>Payee</t>
        </is>
      </c>
      <c r="D4" s="3" t="inlineStr">
        <is>
          <t>Purpose</t>
        </is>
      </c>
      <c r="E4" s="3" t="inlineStr">
        <is>
          <t>Amount (£)</t>
        </is>
      </c>
    </row>
    <row r="5">
      <c r="A5" s="4" t="inlineStr">
        <is>
          <t>SOURCES</t>
        </is>
      </c>
      <c r="B5" s="5" t="n"/>
      <c r="C5" s="5" t="n"/>
      <c r="D5" s="5" t="n"/>
      <c r="E5" s="5" t="n"/>
    </row>
    <row r="6">
      <c r="A6" s="6" t="n">
        <v>1</v>
      </c>
      <c r="B6" s="6" t="inlineStr">
        <is>
          <t>Ardenfield Fund IV (equity)</t>
        </is>
      </c>
      <c r="C6" s="6" t="inlineStr">
        <is>
          <t>Ardenfield Quartz Bidco Limited</t>
        </is>
      </c>
      <c r="D6" s="6" t="inlineStr">
        <is>
          <t>Equity subscription</t>
        </is>
      </c>
      <c r="E6" s="7" t="n">
        <v>22000000</v>
      </c>
    </row>
    <row r="7">
      <c r="A7" s="6" t="n">
        <v>2</v>
      </c>
      <c r="B7" s="6" t="inlineStr">
        <is>
          <t>Northbank plc (senior facility)</t>
        </is>
      </c>
      <c r="C7" s="6" t="inlineStr">
        <is>
          <t>Ardenfield Quartz Bidco Limited</t>
        </is>
      </c>
      <c r="D7" s="6" t="inlineStr">
        <is>
          <t>Term loan drawdown</t>
        </is>
      </c>
      <c r="E7" s="7" t="n">
        <v>15000000</v>
      </c>
    </row>
    <row r="8">
      <c r="A8" s="6" t="n"/>
      <c r="B8" s="6" t="n"/>
      <c r="C8" s="6" t="n"/>
      <c r="D8" s="8" t="inlineStr">
        <is>
          <t>Total sources</t>
        </is>
      </c>
      <c r="E8" s="9">
        <f>SUM(E6:E7)</f>
        <v/>
      </c>
    </row>
    <row r="9">
      <c r="A9" s="6" t="n"/>
      <c r="B9" s="6" t="n"/>
      <c r="C9" s="6" t="n"/>
      <c r="D9" s="6" t="n"/>
      <c r="E9" s="6" t="n"/>
    </row>
    <row r="10">
      <c r="A10" s="4" t="inlineStr">
        <is>
          <t>USES</t>
        </is>
      </c>
      <c r="B10" s="5" t="n"/>
      <c r="C10" s="5" t="n"/>
      <c r="D10" s="5" t="n"/>
      <c r="E10" s="5" t="n"/>
    </row>
    <row r="11">
      <c r="A11" s="6" t="n">
        <v>1</v>
      </c>
      <c r="B11" s="6" t="inlineStr">
        <is>
          <t>Ardenfield Quartz Bidco Limited</t>
        </is>
      </c>
      <c r="C11" s="6" t="inlineStr">
        <is>
          <t>Ashworth Quinn LLP client a/c (Sellers)</t>
        </is>
      </c>
      <c r="D11" s="6" t="inlineStr">
        <is>
          <t>Completion Payment for Shares</t>
        </is>
      </c>
      <c r="E11" s="7" t="n">
        <v>35250000</v>
      </c>
    </row>
    <row r="12">
      <c r="A12" s="6" t="n">
        <v>2</v>
      </c>
      <c r="B12" s="6" t="inlineStr">
        <is>
          <t>Ardenfield Quartz Bidco Limited</t>
        </is>
      </c>
      <c r="C12" s="6" t="inlineStr">
        <is>
          <t>Retention Account (joint solicitors)</t>
        </is>
      </c>
      <c r="D12" s="6" t="inlineStr">
        <is>
          <t>Retention Amount (12 months)</t>
        </is>
      </c>
      <c r="E12" s="7" t="n">
        <v>1500000</v>
      </c>
    </row>
    <row r="13">
      <c r="A13" s="6" t="n">
        <v>3</v>
      </c>
      <c r="B13" s="6" t="inlineStr">
        <is>
          <t>Ardenfield Quartz Bidco Limited</t>
        </is>
      </c>
      <c r="C13" s="6" t="inlineStr">
        <is>
          <t>Pennine Asset Finance Limited</t>
        </is>
      </c>
      <c r="D13" s="6" t="inlineStr">
        <is>
          <t>Redemption of furnace finance lease</t>
        </is>
      </c>
      <c r="E13" s="7" t="n">
        <v>214000</v>
      </c>
    </row>
    <row r="14">
      <c r="A14" s="6" t="n">
        <v>4</v>
      </c>
      <c r="B14" s="6" t="inlineStr">
        <is>
          <t>Ardenfield Quartz Bidco Limited</t>
        </is>
      </c>
      <c r="C14" s="6" t="inlineStr">
        <is>
          <t>Aldgate Specialty (Underwriting) Ltd</t>
        </is>
      </c>
      <c r="D14" s="6" t="inlineStr">
        <is>
          <t>W&amp;I insurance premium (incl. IPT)</t>
        </is>
      </c>
      <c r="E14" s="7" t="n">
        <v>168000</v>
      </c>
    </row>
    <row r="15">
      <c r="A15" s="6" t="n">
        <v>5</v>
      </c>
      <c r="B15" s="6" t="inlineStr">
        <is>
          <t>Ardenfield Quartz Bidco Limited</t>
        </is>
      </c>
      <c r="C15" s="6" t="inlineStr">
        <is>
          <t>Whitfield Carter LLP</t>
        </is>
      </c>
      <c r="D15" s="6" t="inlineStr">
        <is>
          <t>Buyer legal fees &amp; disbursements</t>
        </is>
      </c>
      <c r="E15" s="7" t="n">
        <v>245000</v>
      </c>
    </row>
    <row r="16">
      <c r="A16" s="6" t="n">
        <v>6</v>
      </c>
      <c r="B16" s="6" t="inlineStr">
        <is>
          <t>Ardenfield Quartz Bidco Limited</t>
        </is>
      </c>
      <c r="C16" s="6" t="inlineStr">
        <is>
          <t>HMRC</t>
        </is>
      </c>
      <c r="D16" s="6" t="inlineStr">
        <is>
          <t>Stamp duty on share transfers (0.5%)</t>
        </is>
      </c>
      <c r="E16" s="7" t="n">
        <v>176250</v>
      </c>
    </row>
    <row r="17">
      <c r="A17" s="6" t="n">
        <v>7</v>
      </c>
      <c r="B17" s="6" t="inlineStr">
        <is>
          <t>Ardenfield Quartz Bidco Limited</t>
        </is>
      </c>
      <c r="C17" s="6" t="inlineStr">
        <is>
          <t>Northbank plc</t>
        </is>
      </c>
      <c r="D17" s="6" t="inlineStr">
        <is>
          <t>Arrangement &amp; agency fees</t>
        </is>
      </c>
      <c r="E17" s="7" t="n">
        <v>187500</v>
      </c>
    </row>
    <row r="18">
      <c r="A18" s="6" t="n"/>
      <c r="B18" s="6" t="n"/>
      <c r="C18" s="6" t="n"/>
      <c r="D18" s="8" t="inlineStr">
        <is>
          <t>Total uses</t>
        </is>
      </c>
      <c r="E18" s="9">
        <f>SUM(E11:E17)</f>
        <v/>
      </c>
    </row>
    <row r="19">
      <c r="A19" s="6" t="n"/>
      <c r="B19" s="6" t="n"/>
      <c r="C19" s="6" t="n"/>
      <c r="D19" s="10" t="inlineStr">
        <is>
          <t>Surplus / (shortfall) — to Buyer working capital</t>
        </is>
      </c>
      <c r="E19" s="7">
        <f>E8-E18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2026-06-30T11:12:48Z</dcterms:created>
  <dcterms:modified xmlns:dcterms="http://purl.org/dc/terms/" xmlns:xsi="http://www.w3.org/2001/XMLSchema-instance" xsi:type="dcterms:W3CDTF">2026-06-30T11:12:48Z</dcterms:modified>
</cp:coreProperties>
</file>