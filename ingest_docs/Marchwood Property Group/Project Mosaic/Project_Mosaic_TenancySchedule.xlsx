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nancy Schedul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<sst xmlns="http://schemas.openxmlformats.org/spreadsheetml/2006/main" count="72" uniqueCount="65">
  <si>
    <t xml:space="preserve">PROJECT MOSAIC — Tenancy Schedule &amp; Income Analysis</t>
  </si>
  <si>
    <t xml:space="preserve">Cygnet House, 8 Tabard Street, London SE1 4JU  ·  as at 1 September 2025</t>
  </si>
  <si>
    <t xml:space="preserve">Unit</t>
  </si>
  <si>
    <t xml:space="preserve">Tenant</t>
  </si>
  <si>
    <t xml:space="preserve">Use</t>
  </si>
  <si>
    <t xml:space="preserve">Area (sq ft)</t>
  </si>
  <si>
    <t xml:space="preserve">Lease start</t>
  </si>
  <si>
    <t xml:space="preserve">Lease expiry</t>
  </si>
  <si>
    <t xml:space="preserve">Next review</t>
  </si>
  <si>
    <t xml:space="preserve">Break date</t>
  </si>
  <si>
    <t xml:space="preserve">Passing rent (£ p.a.)</t>
  </si>
  <si>
    <t xml:space="preserve">Rent (£/sq ft)</t>
  </si>
  <si>
    <t xml:space="preserve">% of income</t>
  </si>
  <si>
    <t xml:space="preserve">1</t>
  </si>
  <si>
    <t xml:space="preserve">Larkfield Media Limited</t>
  </si>
  <si>
    <t xml:space="preserve">Office</t>
  </si>
  <si>
    <t xml:space="preserve">24/06/2022</t>
  </si>
  <si>
    <t xml:space="preserve">23/06/2032</t>
  </si>
  <si>
    <t xml:space="preserve">24/06/2027</t>
  </si>
  <si>
    <t xml:space="preserve">2</t>
  </si>
  <si>
    <t xml:space="preserve">Hollis &amp; Crane LLP</t>
  </si>
  <si>
    <t xml:space="preserve">29/09/2021</t>
  </si>
  <si>
    <t xml:space="preserve">28/09/2031</t>
  </si>
  <si>
    <t xml:space="preserve">29/09/2026</t>
  </si>
  <si>
    <t xml:space="preserve">3</t>
  </si>
  <si>
    <t xml:space="preserve">Aperture Software Ltd</t>
  </si>
  <si>
    <t xml:space="preserve">25/03/2019</t>
  </si>
  <si>
    <t xml:space="preserve">24/03/2034</t>
  </si>
  <si>
    <t xml:space="preserve">25/03/2029</t>
  </si>
  <si>
    <t xml:space="preserve">4</t>
  </si>
  <si>
    <t xml:space="preserve">Verity Consulting Ltd</t>
  </si>
  <si>
    <t xml:space="preserve">25/03/2020</t>
  </si>
  <si>
    <t xml:space="preserve">24/03/2030</t>
  </si>
  <si>
    <t xml:space="preserve">25/03/2025</t>
  </si>
  <si>
    <t xml:space="preserve">5</t>
  </si>
  <si>
    <t xml:space="preserve">Meridian Design Studio Ltd</t>
  </si>
  <si>
    <t xml:space="preserve">11/11/2022</t>
  </si>
  <si>
    <t xml:space="preserve">10/11/2032</t>
  </si>
  <si>
    <t xml:space="preserve">11/11/2027</t>
  </si>
  <si>
    <t xml:space="preserve">6</t>
  </si>
  <si>
    <t xml:space="preserve">Brcompton Wealth Ltd</t>
  </si>
  <si>
    <t xml:space="preserve">01/01/2024</t>
  </si>
  <si>
    <t xml:space="preserve">31/12/2028</t>
  </si>
  <si>
    <t xml:space="preserve">7</t>
  </si>
  <si>
    <t xml:space="preserve">Saffron Foods Ltd</t>
  </si>
  <si>
    <t xml:space="preserve">Retail (ground)</t>
  </si>
  <si>
    <t xml:space="preserve">01/07/2021</t>
  </si>
  <si>
    <t xml:space="preserve">30/06/2031</t>
  </si>
  <si>
    <t xml:space="preserve">01/07/2026</t>
  </si>
  <si>
    <t xml:space="preserve">8</t>
  </si>
  <si>
    <t xml:space="preserve">Northgate Clinic Ltd</t>
  </si>
  <si>
    <t xml:space="preserve">Clinic</t>
  </si>
  <si>
    <t xml:space="preserve">25/12/2021</t>
  </si>
  <si>
    <t xml:space="preserve">24/12/2031</t>
  </si>
  <si>
    <t xml:space="preserve">25/12/2026</t>
  </si>
  <si>
    <t xml:space="preserve">TOTAL / Average</t>
  </si>
  <si>
    <t xml:space="preserve">VALUATION &amp; YIELD ANALYSIS</t>
  </si>
  <si>
    <t xml:space="preserve">Purchase price (£)</t>
  </si>
  <si>
    <t xml:space="preserve">Purchaser's costs @ 6.39%</t>
  </si>
  <si>
    <t xml:space="preserve">Gross capital value (price + costs)</t>
  </si>
  <si>
    <t xml:space="preserve">Net initial yield</t>
  </si>
  <si>
    <t xml:space="preserve">Reversionary rent estimate (ERV £ p.a.)</t>
  </si>
  <si>
    <t xml:space="preserve">Reversionary yield</t>
  </si>
  <si>
    <t xml:space="preserve">WAULT to expiry (years)</t>
  </si>
  <si>
    <t xml:space="preserve">WAULT to first break (years)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</si>
</sst>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£#,##0;&quot;(£&quot;#,##0\)"/>
    <numFmt numFmtId="166" formatCode="\£#,##0.00"/>
    <numFmt numFmtId="167" formatCode="0.0%"/>
    <numFmt numFmtId="168" formatCode="0.00%"/>
    <numFmt numFmtId="169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7" min="5" style="0" width="12"/>
    <col collapsed="false" customWidth="true" hidden="false" outlineLevel="0" max="8" min="8" style="0" width="11"/>
    <col collapsed="false" customWidth="true" hidden="false" outlineLevel="0" max="9" min="9" style="0" width="18"/>
    <col collapsed="false" customWidth="true" hidden="false" outlineLevel="0" max="10" min="10" style="0" width="13"/>
    <col collapsed="false" customWidth="true" hidden="false" outlineLevel="0" max="11" min="11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15" hidden="false" customHeight="false" outlineLevel="0" collapsed="false">
      <c r="A5" s="4" t="s">
        <v>13</v>
      </c>
      <c r="B5" s="4" t="s">
        <v>14</v>
      </c>
      <c r="C5" s="4" t="s">
        <v>15</v>
      </c>
      <c r="D5" s="4" t="n">
        <v>9846</v>
      </c>
      <c r="E5" s="4" t="s">
        <v>16</v>
      </c>
      <c r="F5" s="4" t="s">
        <v>17</v>
      </c>
      <c r="G5" s="4" t="s">
        <v>18</v>
      </c>
      <c r="H5" s="4" t="s">
        <v>18</v>
      </c>
      <c r="I5" s="5" t="n">
        <v>256000</v>
      </c>
      <c r="J5" s="6" t="n">
        <f aca="false">I5/D5</f>
        <v>26.0004062563478</v>
      </c>
      <c r="K5" s="7" t="n">
        <f aca="false">I5/$I$13</f>
        <v>0.176126590987272</v>
      </c>
    </row>
    <row r="6" customFormat="false" ht="15" hidden="false" customHeight="false" outlineLevel="0" collapsed="false">
      <c r="A6" s="4" t="s">
        <v>19</v>
      </c>
      <c r="B6" s="4" t="s">
        <v>20</v>
      </c>
      <c r="C6" s="4" t="s">
        <v>15</v>
      </c>
      <c r="D6" s="4" t="n">
        <v>9173</v>
      </c>
      <c r="E6" s="4" t="s">
        <v>21</v>
      </c>
      <c r="F6" s="4" t="s">
        <v>22</v>
      </c>
      <c r="G6" s="4" t="s">
        <v>23</v>
      </c>
      <c r="H6" s="4"/>
      <c r="I6" s="5" t="n">
        <v>238500</v>
      </c>
      <c r="J6" s="6" t="n">
        <f aca="false">I6/D6</f>
        <v>26.0002180311785</v>
      </c>
      <c r="K6" s="7" t="n">
        <f aca="false">I6/$I$13</f>
        <v>0.164086687306502</v>
      </c>
    </row>
    <row r="7" customFormat="false" ht="15" hidden="false" customHeight="false" outlineLevel="0" collapsed="false">
      <c r="A7" s="4" t="s">
        <v>24</v>
      </c>
      <c r="B7" s="4" t="s">
        <v>25</v>
      </c>
      <c r="C7" s="4" t="s">
        <v>15</v>
      </c>
      <c r="D7" s="4" t="n">
        <v>7615</v>
      </c>
      <c r="E7" s="4" t="s">
        <v>26</v>
      </c>
      <c r="F7" s="4" t="s">
        <v>27</v>
      </c>
      <c r="G7" s="4" t="s">
        <v>28</v>
      </c>
      <c r="H7" s="4"/>
      <c r="I7" s="5" t="n">
        <v>198000</v>
      </c>
      <c r="J7" s="6" t="n">
        <f aca="false">I7/D7</f>
        <v>26.0013131976362</v>
      </c>
      <c r="K7" s="7" t="n">
        <f aca="false">I7/$I$13</f>
        <v>0.136222910216718</v>
      </c>
    </row>
    <row r="8" customFormat="false" ht="15" hidden="false" customHeight="false" outlineLevel="0" collapsed="false">
      <c r="A8" s="4" t="s">
        <v>29</v>
      </c>
      <c r="B8" s="4" t="s">
        <v>30</v>
      </c>
      <c r="C8" s="4" t="s">
        <v>15</v>
      </c>
      <c r="D8" s="4" t="n">
        <v>7077</v>
      </c>
      <c r="E8" s="4" t="s">
        <v>31</v>
      </c>
      <c r="F8" s="4" t="s">
        <v>32</v>
      </c>
      <c r="G8" s="4" t="s">
        <v>33</v>
      </c>
      <c r="H8" s="4"/>
      <c r="I8" s="5" t="n">
        <v>184000</v>
      </c>
      <c r="J8" s="6" t="n">
        <f aca="false">I8/D8</f>
        <v>25.9997173943761</v>
      </c>
      <c r="K8" s="7" t="n">
        <f aca="false">I8/$I$13</f>
        <v>0.126590987272102</v>
      </c>
    </row>
    <row r="9" customFormat="false" ht="15" hidden="false" customHeight="false" outlineLevel="0" collapsed="false">
      <c r="A9" s="4" t="s">
        <v>34</v>
      </c>
      <c r="B9" s="4" t="s">
        <v>35</v>
      </c>
      <c r="C9" s="4" t="s">
        <v>15</v>
      </c>
      <c r="D9" s="4" t="n">
        <v>7577</v>
      </c>
      <c r="E9" s="4" t="s">
        <v>36</v>
      </c>
      <c r="F9" s="4" t="s">
        <v>37</v>
      </c>
      <c r="G9" s="4" t="s">
        <v>38</v>
      </c>
      <c r="H9" s="4"/>
      <c r="I9" s="5" t="n">
        <v>197000</v>
      </c>
      <c r="J9" s="6" t="n">
        <f aca="false">I9/D9</f>
        <v>25.9997360432889</v>
      </c>
      <c r="K9" s="7" t="n">
        <f aca="false">I9/$I$13</f>
        <v>0.135534915720674</v>
      </c>
    </row>
    <row r="10" customFormat="false" ht="15" hidden="false" customHeight="false" outlineLevel="0" collapsed="false">
      <c r="A10" s="4" t="s">
        <v>39</v>
      </c>
      <c r="B10" s="4" t="s">
        <v>40</v>
      </c>
      <c r="C10" s="4" t="s">
        <v>15</v>
      </c>
      <c r="D10" s="4" t="n">
        <v>5677</v>
      </c>
      <c r="E10" s="4" t="s">
        <v>41</v>
      </c>
      <c r="F10" s="4" t="s">
        <v>42</v>
      </c>
      <c r="G10" s="4"/>
      <c r="H10" s="4"/>
      <c r="I10" s="5" t="n">
        <v>142000</v>
      </c>
      <c r="J10" s="6" t="n">
        <f aca="false">I10/D10</f>
        <v>25.0132112031002</v>
      </c>
      <c r="K10" s="7" t="n">
        <f aca="false">I10/$I$13</f>
        <v>0.0976952184382525</v>
      </c>
    </row>
    <row r="11" customFormat="false" ht="15" hidden="false" customHeight="false" outlineLevel="0" collapsed="false">
      <c r="A11" s="4" t="s">
        <v>43</v>
      </c>
      <c r="B11" s="4" t="s">
        <v>44</v>
      </c>
      <c r="C11" s="4" t="s">
        <v>45</v>
      </c>
      <c r="D11" s="4" t="n">
        <v>4846</v>
      </c>
      <c r="E11" s="4" t="s">
        <v>46</v>
      </c>
      <c r="F11" s="4" t="s">
        <v>47</v>
      </c>
      <c r="G11" s="4" t="s">
        <v>48</v>
      </c>
      <c r="H11" s="4"/>
      <c r="I11" s="5" t="n">
        <v>126000</v>
      </c>
      <c r="J11" s="6" t="n">
        <f aca="false">I11/D11</f>
        <v>26.0008254230293</v>
      </c>
      <c r="K11" s="7" t="n">
        <f aca="false">I11/$I$13</f>
        <v>0.086687306501548</v>
      </c>
    </row>
    <row r="12" customFormat="false" ht="15" hidden="false" customHeight="false" outlineLevel="0" collapsed="false">
      <c r="A12" s="4" t="s">
        <v>49</v>
      </c>
      <c r="B12" s="4" t="s">
        <v>50</v>
      </c>
      <c r="C12" s="4" t="s">
        <v>51</v>
      </c>
      <c r="D12" s="4" t="n">
        <v>4308</v>
      </c>
      <c r="E12" s="4" t="s">
        <v>52</v>
      </c>
      <c r="F12" s="4" t="s">
        <v>53</v>
      </c>
      <c r="G12" s="4" t="s">
        <v>54</v>
      </c>
      <c r="H12" s="4"/>
      <c r="I12" s="5" t="n">
        <v>112000</v>
      </c>
      <c r="J12" s="6" t="n">
        <f aca="false">I12/D12</f>
        <v>25.9981429897864</v>
      </c>
      <c r="K12" s="7" t="n">
        <f aca="false">I12/$I$13</f>
        <v>0.0770553835569316</v>
      </c>
    </row>
    <row r="13" customFormat="false" ht="15" hidden="false" customHeight="false" outlineLevel="0" collapsed="false">
      <c r="A13" s="8"/>
      <c r="B13" s="9" t="s">
        <v>55</v>
      </c>
      <c r="C13" s="8"/>
      <c r="D13" s="9" t="n">
        <f aca="false">SUM(D5:D12)</f>
        <v>56119</v>
      </c>
      <c r="E13" s="8"/>
      <c r="F13" s="8"/>
      <c r="G13" s="8"/>
      <c r="H13" s="8"/>
      <c r="I13" s="10" t="n">
        <f aca="false">SUM(I5:I12)</f>
        <v>1453500</v>
      </c>
      <c r="J13" s="11" t="n">
        <f aca="false">I13/D13</f>
        <v>25.9003189650564</v>
      </c>
      <c r="K13" s="12" t="n">
        <f aca="false">I13/$I$13</f>
        <v>1</v>
      </c>
    </row>
    <row r="16" customFormat="false" ht="15" hidden="false" customHeight="false" outlineLevel="0" collapsed="false">
      <c r="A16" s="13" t="s">
        <v>56</v>
      </c>
    </row>
    <row r="17" customFormat="false" ht="15" hidden="false" customHeight="false" outlineLevel="0" collapsed="false">
      <c r="A17" s="14" t="s">
        <v>57</v>
      </c>
      <c r="B17" s="15" t="n">
        <v>21750000</v>
      </c>
    </row>
    <row r="18" customFormat="false" ht="15" hidden="false" customHeight="false" outlineLevel="0" collapsed="false">
      <c r="A18" s="14" t="s">
        <v>10</v>
      </c>
      <c r="B18" s="16" t="n">
        <f aca="false">I13</f>
        <v>1453500</v>
      </c>
    </row>
    <row r="19" customFormat="false" ht="15" hidden="false" customHeight="false" outlineLevel="0" collapsed="false">
      <c r="A19" s="14" t="s">
        <v>58</v>
      </c>
      <c r="B19" s="16" t="n">
        <f aca="false">B17*0.0639</f>
        <v>1389825</v>
      </c>
    </row>
    <row r="20" customFormat="false" ht="15" hidden="false" customHeight="false" outlineLevel="0" collapsed="false">
      <c r="A20" s="14" t="s">
        <v>59</v>
      </c>
      <c r="B20" s="16" t="n">
        <f aca="false">B17+B19</f>
        <v>23139825</v>
      </c>
    </row>
    <row r="21" customFormat="false" ht="15" hidden="false" customHeight="false" outlineLevel="0" collapsed="false">
      <c r="A21" s="14" t="s">
        <v>60</v>
      </c>
      <c r="B21" s="17" t="n">
        <f aca="false">B18/B20</f>
        <v>0.0628137853246513</v>
      </c>
    </row>
    <row r="22" customFormat="false" ht="15" hidden="false" customHeight="false" outlineLevel="0" collapsed="false">
      <c r="A22" s="14" t="s">
        <v>61</v>
      </c>
      <c r="B22" s="15" t="n">
        <v>1512000</v>
      </c>
    </row>
    <row r="23" customFormat="false" ht="15" hidden="false" customHeight="false" outlineLevel="0" collapsed="false">
      <c r="A23" s="14" t="s">
        <v>62</v>
      </c>
      <c r="B23" s="17" t="n">
        <f aca="false">B22/B20</f>
        <v>0.0653418943315259</v>
      </c>
    </row>
    <row r="24" customFormat="false" ht="15" hidden="false" customHeight="false" outlineLevel="0" collapsed="false">
      <c r="A24" s="14" t="s">
        <v>63</v>
      </c>
      <c r="B24" s="18" t="n">
        <v>6.2</v>
      </c>
    </row>
    <row r="25" customFormat="false" ht="15" hidden="false" customHeight="false" outlineLevel="0" collapsed="false">
      <c r="A25" s="14" t="s">
        <v>64</v>
      </c>
      <c r="B25" s="18" t="n">
        <v>4.9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2026-06-25T22:18:00Z</dcterms:created>
  <dc:creator>openpyxl</dc:creator>
  <dc:description/>
  <dc:language>en-US</dc:language>
  <cp:lastModifiedBy/>
  <dcterms:modified xsi:type="dcterms:W3CDTF">2026-06-25T22:18:00Z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