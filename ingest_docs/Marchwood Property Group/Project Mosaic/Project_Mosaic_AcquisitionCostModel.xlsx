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quisition Co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<sst xmlns="http://schemas.openxmlformats.org/spreadsheetml/2006/main" count="26" uniqueCount="25">
  <si>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PROJECT MOSAIC — Acquisition Cost Summary</t>
  </si>
  <si>
    <t xml:space="preserve">Marchwood Property Group Ltd  ·  Cygnet House, SE1  ·  prepared 16 September 2025</t>
  </si>
  <si>
    <t xml:space="preserve">Cost item</t>
  </si>
  <si>
    <t xml:space="preserve">Basis</t>
  </si>
  <si>
    <t xml:space="preserve">Rate</t>
  </si>
  <si>
    <t xml:space="preserve">Amount (£)</t>
  </si>
  <si>
    <t xml:space="preserve">Purchase price</t>
  </si>
  <si>
    <t xml:space="preserve">Agreed consideration (TOGC, no VAT)</t>
  </si>
  <si>
    <t xml:space="preserve">SDLT</t>
  </si>
  <si>
    <t xml:space="preserve">Non-residential rates on price</t>
  </si>
  <si>
    <t xml:space="preserve">see note</t>
  </si>
  <si>
    <t xml:space="preserve">Agent's acquisition fee</t>
  </si>
  <si>
    <t xml:space="preserve">% of price</t>
  </si>
  <si>
    <t xml:space="preserve">Legal fees (Whitfield Carter)</t>
  </si>
  <si>
    <t xml:space="preserve">Fixed estimate</t>
  </si>
  <si>
    <t xml:space="preserve">Building survey &amp; M&amp;E (Calderbank Vine)</t>
  </si>
  <si>
    <t xml:space="preserve">Fixed</t>
  </si>
  <si>
    <t xml:space="preserve">Environmental &amp; measured survey review</t>
  </si>
  <si>
    <t xml:space="preserve">Searches &amp; HMLR registration</t>
  </si>
  <si>
    <t xml:space="preserve">Disbursements</t>
  </si>
  <si>
    <t xml:space="preserve">VAT on professional fees</t>
  </si>
  <si>
    <t xml:space="preserve">20% of fees &amp; agent</t>
  </si>
  <si>
    <t xml:space="preserve">TOTAL ACQUISITION OUTLAY</t>
  </si>
  <si>
    <t xml:space="preserve">Total costs as % of price (excl. price)</t>
  </si>
  <si>
    <t xml:space="preserve">Note: SDLT = £2,000 (2% on £150k-£250k band) + 5% on the slice above £250,000.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</si>
</sst>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"/>
    <numFmt numFmtId="166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6"/>
      <c r="D5" s="7" t="n">
        <v>21750000</v>
      </c>
    </row>
    <row r="6" customFormat="false" ht="15" hidden="false" customHeight="false" outlineLevel="0" collapsed="false">
      <c r="A6" s="4" t="s">
        <v>8</v>
      </c>
      <c r="B6" s="5" t="s">
        <v>9</v>
      </c>
      <c r="C6" s="5" t="s">
        <v>10</v>
      </c>
      <c r="D6" s="8" t="n">
        <f aca="false">2000+(D5-250000)*0.05</f>
        <v>1077000</v>
      </c>
    </row>
    <row r="7" customFormat="false" ht="15" hidden="false" customHeight="false" outlineLevel="0" collapsed="false">
      <c r="A7" s="4" t="s">
        <v>11</v>
      </c>
      <c r="B7" s="5" t="s">
        <v>12</v>
      </c>
      <c r="C7" s="9" t="n">
        <v>0.0075</v>
      </c>
      <c r="D7" s="8" t="n">
        <f aca="false">D5*C7</f>
        <v>163125</v>
      </c>
    </row>
    <row r="8" customFormat="false" ht="15" hidden="false" customHeight="false" outlineLevel="0" collapsed="false">
      <c r="A8" s="4" t="s">
        <v>13</v>
      </c>
      <c r="B8" s="5" t="s">
        <v>14</v>
      </c>
      <c r="C8" s="6"/>
      <c r="D8" s="7" t="n">
        <v>45000</v>
      </c>
    </row>
    <row r="9" customFormat="false" ht="15" hidden="false" customHeight="false" outlineLevel="0" collapsed="false">
      <c r="A9" s="4" t="s">
        <v>15</v>
      </c>
      <c r="B9" s="5" t="s">
        <v>16</v>
      </c>
      <c r="C9" s="6"/>
      <c r="D9" s="7" t="n">
        <v>16500</v>
      </c>
    </row>
    <row r="10" customFormat="false" ht="15" hidden="false" customHeight="false" outlineLevel="0" collapsed="false">
      <c r="A10" s="4" t="s">
        <v>17</v>
      </c>
      <c r="B10" s="5" t="s">
        <v>16</v>
      </c>
      <c r="C10" s="6"/>
      <c r="D10" s="7" t="n">
        <v>8500</v>
      </c>
    </row>
    <row r="11" customFormat="false" ht="15" hidden="false" customHeight="false" outlineLevel="0" collapsed="false">
      <c r="A11" s="4" t="s">
        <v>18</v>
      </c>
      <c r="B11" s="5" t="s">
        <v>19</v>
      </c>
      <c r="C11" s="6"/>
      <c r="D11" s="7" t="n">
        <v>1755</v>
      </c>
    </row>
    <row r="12" customFormat="false" ht="15" hidden="false" customHeight="false" outlineLevel="0" collapsed="false">
      <c r="A12" s="4" t="s">
        <v>20</v>
      </c>
      <c r="B12" s="5" t="s">
        <v>21</v>
      </c>
      <c r="C12" s="9" t="n">
        <v>0.2</v>
      </c>
      <c r="D12" s="8" t="n">
        <f aca="false">(D7+D8+D9+D10)*C12</f>
        <v>46625</v>
      </c>
    </row>
    <row r="13" customFormat="false" ht="15" hidden="false" customHeight="false" outlineLevel="0" collapsed="false">
      <c r="A13" s="10" t="s">
        <v>22</v>
      </c>
      <c r="B13" s="6"/>
      <c r="C13" s="6"/>
      <c r="D13" s="11" t="n">
        <f aca="false">SUM(D5:D12)</f>
        <v>23108505</v>
      </c>
    </row>
    <row r="14" customFormat="false" ht="15" hidden="false" customHeight="false" outlineLevel="0" collapsed="false">
      <c r="A14" s="12" t="s">
        <v>23</v>
      </c>
      <c r="D14" s="13" t="n">
        <f aca="false">(D13-D5)/D5</f>
        <v>0.06246</v>
      </c>
    </row>
    <row r="15" customFormat="false" ht="15" hidden="false" customHeight="false" outlineLevel="0" collapsed="false">
      <c r="A15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2026-06-25T22:18:00Z</dcterms:created>
  <dc:creator>openpyxl</dc:creator>
  <dc:description/>
  <dc:language>en-US</dc:language>
  <cp:lastModifiedBy/>
  <dcterms:modified xsi:type="dcterms:W3CDTF">2026-06-25T22:18:00Z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