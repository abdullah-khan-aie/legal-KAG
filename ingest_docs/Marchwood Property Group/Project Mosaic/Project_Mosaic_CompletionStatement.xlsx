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<sst xmlns="http://schemas.openxmlformats.org/spreadsheetml/2006/main" count="34" uniqueCount="29">
  <si>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PROJECT MOSAIC — Completion Statement</t>
  </si>
  <si>
    <t xml:space="preserve">Buyer: Marchwood Property Group Ltd  ·  Completion 10 October 2025  ·  Quarter day 29 Sep 2025</t>
  </si>
  <si>
    <t xml:space="preserve">Apportionments calculated for the period 10 Oct 2025 to 24 Dec 2025 (75 of 86 days in the quarter).</t>
  </si>
  <si>
    <t xml:space="preserve">Key figures</t>
  </si>
  <si>
    <t xml:space="preserve">Note</t>
  </si>
  <si>
    <t xml:space="preserve">Due to Seller (£)</t>
  </si>
  <si>
    <t xml:space="preserve">Due to Buyer (£)</t>
  </si>
  <si>
    <t xml:space="preserve">Purchase price</t>
  </si>
  <si>
    <t xml:space="preserve">Deposit paid on exchange (10%)</t>
  </si>
  <si>
    <t xml:space="preserve">Quarterly rent (passing rent / 4)</t>
  </si>
  <si>
    <t xml:space="preserve">Days buyer entitled (completion to quarter end)</t>
  </si>
  <si>
    <t xml:space="preserve">Days in quarter (29 Sep - 24 Dec)</t>
  </si>
  <si>
    <t xml:space="preserve">Service charge retention</t>
  </si>
  <si>
    <t xml:space="preserve">Rent deposits transferred to Buyer</t>
  </si>
  <si>
    <t xml:space="preserve">Insurance rent apportionment (buyer share)</t>
  </si>
  <si>
    <t xml:space="preserve">Item</t>
  </si>
  <si>
    <t xml:space="preserve">Less: deposit paid on exchange</t>
  </si>
  <si>
    <t xml:space="preserve">credit to Buyer</t>
  </si>
  <si>
    <t xml:space="preserve">Apportioned rent (Seller paid quarter in advance; Buyer's share)</t>
  </si>
  <si>
    <t xml:space="preserve">76 of 87 days</t>
  </si>
  <si>
    <t xml:space="preserve">Service charge retention (held by Buyer's solicitor)</t>
  </si>
  <si>
    <t xml:space="preserve">released on 2025 recon.</t>
  </si>
  <si>
    <t xml:space="preserve">Units 2 &amp; 5</t>
  </si>
  <si>
    <t xml:space="preserve">Insurance rent apportionment</t>
  </si>
  <si>
    <t xml:space="preserve">Buyer's share to renewal</t>
  </si>
  <si>
    <t xml:space="preserve">Sub-totals</t>
  </si>
  <si>
    <t xml:space="preserve">BALANCE DUE FROM BUYER ON COMPLETION</t>
  </si>
  <si>
    <t xml:space="preserve">SDLT payable (non-residential, post-completion within 14 days)</t>
  </si>
  <si>
    <t xml:space="preserve">2% of (250k-150k) + 5% above 250k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</si>
</sst>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"/>
    <numFmt numFmtId="166" formatCode="0"/>
    <numFmt numFmtId="167" formatCode="\£#,##0.00;&quot;(£&quot;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6"/>
    <col collapsed="false" customWidth="true" hidden="false" outlineLevel="0" max="4" min="3" style="1" width="1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3" t="s">
        <v>2</v>
      </c>
    </row>
    <row r="6" customFormat="false" ht="15" hidden="false" customHeight="true" outlineLevel="0" collapsed="false">
      <c r="A6" s="4" t="s">
        <v>3</v>
      </c>
      <c r="B6" s="5" t="s">
        <v>4</v>
      </c>
      <c r="C6" s="5" t="s">
        <v>5</v>
      </c>
      <c r="D6" s="5" t="s">
        <v>6</v>
      </c>
    </row>
    <row r="7" customFormat="false" ht="15" hidden="false" customHeight="true" outlineLevel="0" collapsed="false">
      <c r="A7" s="6" t="s">
        <v>7</v>
      </c>
      <c r="B7" s="7" t="n">
        <v>21750000</v>
      </c>
    </row>
    <row r="8" customFormat="false" ht="15" hidden="false" customHeight="true" outlineLevel="0" collapsed="false">
      <c r="A8" s="6" t="s">
        <v>8</v>
      </c>
      <c r="B8" s="7" t="n">
        <v>2175000</v>
      </c>
    </row>
    <row r="9" customFormat="false" ht="15" hidden="false" customHeight="true" outlineLevel="0" collapsed="false">
      <c r="A9" s="6" t="s">
        <v>9</v>
      </c>
      <c r="B9" s="8" t="n">
        <f aca="false">21750000*0+1453500/4</f>
        <v>363375</v>
      </c>
    </row>
    <row r="10" customFormat="false" ht="15" hidden="false" customHeight="true" outlineLevel="0" collapsed="false">
      <c r="A10" s="6" t="s">
        <v>10</v>
      </c>
      <c r="B10" s="9" t="n">
        <v>76</v>
      </c>
    </row>
    <row r="11" customFormat="false" ht="15" hidden="false" customHeight="true" outlineLevel="0" collapsed="false">
      <c r="A11" s="6" t="s">
        <v>11</v>
      </c>
      <c r="B11" s="9" t="n">
        <v>87</v>
      </c>
    </row>
    <row r="12" customFormat="false" ht="15" hidden="false" customHeight="true" outlineLevel="0" collapsed="false">
      <c r="A12" s="6" t="s">
        <v>12</v>
      </c>
      <c r="B12" s="7" t="n">
        <v>25000</v>
      </c>
    </row>
    <row r="13" customFormat="false" ht="15" hidden="false" customHeight="true" outlineLevel="0" collapsed="false">
      <c r="A13" s="6" t="s">
        <v>13</v>
      </c>
      <c r="B13" s="7" t="n">
        <v>221500</v>
      </c>
    </row>
    <row r="14" customFormat="false" ht="15" hidden="false" customHeight="true" outlineLevel="0" collapsed="false">
      <c r="A14" s="6" t="s">
        <v>14</v>
      </c>
      <c r="B14" s="7" t="n">
        <v>9012</v>
      </c>
    </row>
    <row r="17" customFormat="false" ht="15" hidden="false" customHeight="true" outlineLevel="0" collapsed="false">
      <c r="A17" s="5" t="s">
        <v>15</v>
      </c>
      <c r="B17" s="5" t="s">
        <v>4</v>
      </c>
      <c r="C17" s="5" t="s">
        <v>5</v>
      </c>
      <c r="D17" s="5" t="s">
        <v>6</v>
      </c>
    </row>
    <row r="18" customFormat="false" ht="15" hidden="false" customHeight="true" outlineLevel="0" collapsed="false">
      <c r="A18" s="10" t="s">
        <v>7</v>
      </c>
      <c r="B18" s="11"/>
      <c r="C18" s="12" t="n">
        <f aca="false">B7</f>
        <v>21750000</v>
      </c>
      <c r="D18" s="13"/>
    </row>
    <row r="19" customFormat="false" ht="15" hidden="false" customHeight="true" outlineLevel="0" collapsed="false">
      <c r="A19" s="10" t="s">
        <v>16</v>
      </c>
      <c r="B19" s="11" t="s">
        <v>17</v>
      </c>
      <c r="C19" s="13"/>
      <c r="D19" s="12" t="n">
        <f aca="false">B8</f>
        <v>2175000</v>
      </c>
    </row>
    <row r="20" customFormat="false" ht="15" hidden="false" customHeight="true" outlineLevel="0" collapsed="false">
      <c r="A20" s="10" t="s">
        <v>18</v>
      </c>
      <c r="B20" s="11" t="s">
        <v>19</v>
      </c>
      <c r="C20" s="13"/>
      <c r="D20" s="12" t="n">
        <f aca="false">B9*B10/B11</f>
        <v>317431.034482759</v>
      </c>
    </row>
    <row r="21" customFormat="false" ht="15" hidden="false" customHeight="true" outlineLevel="0" collapsed="false">
      <c r="A21" s="10" t="s">
        <v>20</v>
      </c>
      <c r="B21" s="11" t="s">
        <v>21</v>
      </c>
      <c r="C21" s="13"/>
      <c r="D21" s="12" t="n">
        <f aca="false">B12</f>
        <v>25000</v>
      </c>
    </row>
    <row r="22" customFormat="false" ht="15" hidden="false" customHeight="true" outlineLevel="0" collapsed="false">
      <c r="A22" s="10" t="s">
        <v>13</v>
      </c>
      <c r="B22" s="11" t="s">
        <v>22</v>
      </c>
      <c r="C22" s="13"/>
      <c r="D22" s="12" t="n">
        <f aca="false">B13</f>
        <v>221500</v>
      </c>
    </row>
    <row r="23" customFormat="false" ht="15" hidden="false" customHeight="true" outlineLevel="0" collapsed="false">
      <c r="A23" s="10" t="s">
        <v>23</v>
      </c>
      <c r="B23" s="11" t="s">
        <v>24</v>
      </c>
      <c r="C23" s="12" t="n">
        <f aca="false">B14</f>
        <v>9012</v>
      </c>
      <c r="D23" s="13"/>
    </row>
    <row r="24" customFormat="false" ht="15" hidden="false" customHeight="true" outlineLevel="0" collapsed="false">
      <c r="A24" s="14" t="s">
        <v>25</v>
      </c>
      <c r="B24" s="13"/>
      <c r="C24" s="15" t="n">
        <f aca="false">SUM(C18:C23)</f>
        <v>21759012</v>
      </c>
      <c r="D24" s="15" t="n">
        <f aca="false">SUM(D18:D23)</f>
        <v>2738931.03448276</v>
      </c>
    </row>
    <row r="25" customFormat="false" ht="15" hidden="false" customHeight="true" outlineLevel="0" collapsed="false">
      <c r="A25" s="14" t="s">
        <v>26</v>
      </c>
      <c r="B25" s="13"/>
      <c r="C25" s="16" t="n">
        <f aca="false">C24-D24</f>
        <v>19020080.9655172</v>
      </c>
      <c r="D25" s="13"/>
    </row>
    <row r="28" customFormat="false" ht="15" hidden="false" customHeight="true" outlineLevel="0" collapsed="false">
      <c r="A28" s="6" t="s">
        <v>27</v>
      </c>
      <c r="B28" s="3" t="s">
        <v>28</v>
      </c>
      <c r="C28" s="17" t="n">
        <f aca="false">2000+(B7-250000)*0.05</f>
        <v>1077000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2026-06-25T22:18:00Z</dcterms:created>
  <dc:creator>openpyxl</dc:creator>
  <dc:description/>
  <dc:language>en-US</dc:language>
  <cp:lastModifiedBy/>
  <dcterms:modified xsi:type="dcterms:W3CDTF">2026-06-25T22:18:22Z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