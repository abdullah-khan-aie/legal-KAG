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<sst xmlns="http://schemas.openxmlformats.org/spreadsheetml/2006/main" count="27" uniqueCount="27">
  <si>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Project Larkspur — Completion Statement</t>
  </si>
  <si>
    <t xml:space="preserve">Purchase of Kestrel House, 14 Forbury Road, Reading  |  Completion: 8 May 2026</t>
  </si>
  <si>
    <t xml:space="preserve">Prepared by Whitfield Carter LLP for Marchwood Property Group Limited</t>
  </si>
  <si>
    <t xml:space="preserve">Item</t>
  </si>
  <si>
    <t xml:space="preserve">Note</t>
  </si>
  <si>
    <t xml:space="preserve">Due to Seller (£)</t>
  </si>
  <si>
    <t xml:space="preserve">Due to Buyer (£)</t>
  </si>
  <si>
    <t xml:space="preserve">Purchase price (excl. VAT)</t>
  </si>
  <si>
    <t xml:space="preserve">TOGC — no VAT charged</t>
  </si>
  <si>
    <t xml:space="preserve">Less: deposit paid on exchange</t>
  </si>
  <si>
    <t xml:space="preserve">10% paid 24/04/2026, held as stakeholder</t>
  </si>
  <si>
    <t xml:space="preserve">Apportionment — rent (in advance)</t>
  </si>
  <si>
    <t xml:space="preserve">Seller has collected Q2 rent to 23/06; buyer credited for 47 days post-completion</t>
  </si>
  <si>
    <t xml:space="preserve">Apportionment — service charge</t>
  </si>
  <si>
    <t xml:space="preserve">2025 deficit carried forward adjustment</t>
  </si>
  <si>
    <t xml:space="preserve">Rent deposits transferred to Buyer</t>
  </si>
  <si>
    <t xml:space="preserve">Trevose £49,125 + Caldermoor £24,000</t>
  </si>
  <si>
    <t xml:space="preserve">Buyer's contribution to title discharge admin</t>
  </si>
  <si>
    <t xml:space="preserve">Northbank DS1 handling</t>
  </si>
  <si>
    <t xml:space="preserve">Sub-totals</t>
  </si>
  <si>
    <t xml:space="preserve">BALANCE DUE FROM BUYER ON COMPLETION</t>
  </si>
  <si>
    <t xml:space="preserve">Post-completion — Stamp Duty Land Tax (non-residential)</t>
  </si>
  <si>
    <t xml:space="preserve">Consideration (excl VAT)</t>
  </si>
  <si>
    <t xml:space="preserve">SDLT @ 0% on first £150,000</t>
  </si>
  <si>
    <t xml:space="preserve">SDLT @ 2% on £150,001–£250,000</t>
  </si>
  <si>
    <t xml:space="preserve">SDLT @ 5% on balance above £250,000</t>
  </si>
  <si>
    <t xml:space="preserve">Total SDLT payable (within 14 days)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</si>
</sst>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0"/>
    <col collapsed="false" customWidth="true" hidden="false" outlineLevel="0" max="4" min="3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v>14250000</v>
      </c>
      <c r="D6" s="5"/>
    </row>
    <row r="7" customFormat="false" ht="15" hidden="false" customHeight="false" outlineLevel="0" collapsed="false">
      <c r="A7" s="5" t="s">
        <v>9</v>
      </c>
      <c r="B7" s="5" t="s">
        <v>10</v>
      </c>
      <c r="C7" s="5"/>
      <c r="D7" s="6" t="n">
        <v>1425000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/>
      <c r="D8" s="6" t="n">
        <f aca="false">ROUND(1041500/365*47,2)</f>
        <v>134110.96</v>
      </c>
    </row>
    <row r="9" customFormat="false" ht="15" hidden="false" customHeight="false" outlineLevel="0" collapsed="false">
      <c r="A9" s="5" t="s">
        <v>13</v>
      </c>
      <c r="B9" s="5" t="s">
        <v>14</v>
      </c>
      <c r="C9" s="5"/>
      <c r="D9" s="6" t="n">
        <v>18400</v>
      </c>
    </row>
    <row r="10" customFormat="false" ht="15" hidden="false" customHeight="false" outlineLevel="0" collapsed="false">
      <c r="A10" s="5" t="s">
        <v>15</v>
      </c>
      <c r="B10" s="5" t="s">
        <v>16</v>
      </c>
      <c r="C10" s="5"/>
      <c r="D10" s="6" t="n">
        <v>73125</v>
      </c>
    </row>
    <row r="11" customFormat="false" ht="15" hidden="false" customHeight="false" outlineLevel="0" collapsed="false">
      <c r="A11" s="5" t="s">
        <v>17</v>
      </c>
      <c r="B11" s="5" t="s">
        <v>18</v>
      </c>
      <c r="C11" s="6" t="n">
        <v>1500</v>
      </c>
      <c r="D11" s="5"/>
    </row>
    <row r="13" customFormat="false" ht="15" hidden="false" customHeight="false" outlineLevel="0" collapsed="false">
      <c r="A13" s="7" t="s">
        <v>19</v>
      </c>
      <c r="B13" s="7"/>
      <c r="C13" s="8" t="n">
        <f aca="false">SUM(C6:C11)</f>
        <v>14251500</v>
      </c>
      <c r="D13" s="8" t="n">
        <f aca="false">SUM(D6:D11)</f>
        <v>1650635.96</v>
      </c>
    </row>
    <row r="14" customFormat="false" ht="15" hidden="false" customHeight="false" outlineLevel="0" collapsed="false">
      <c r="A14" s="7" t="s">
        <v>20</v>
      </c>
      <c r="B14" s="7"/>
      <c r="C14" s="8" t="n">
        <f aca="false">C13-D13</f>
        <v>12600864.04</v>
      </c>
      <c r="D14" s="7"/>
    </row>
    <row r="16" customFormat="false" ht="15" hidden="false" customHeight="false" outlineLevel="0" collapsed="false">
      <c r="A16" s="9" t="s">
        <v>21</v>
      </c>
    </row>
    <row r="17" customFormat="false" ht="15" hidden="false" customHeight="false" outlineLevel="0" collapsed="false">
      <c r="A17" s="10" t="s">
        <v>22</v>
      </c>
      <c r="B17" s="11" t="n">
        <v>14250000</v>
      </c>
    </row>
    <row r="18" customFormat="false" ht="15" hidden="false" customHeight="false" outlineLevel="0" collapsed="false">
      <c r="A18" s="10" t="s">
        <v>23</v>
      </c>
      <c r="B18" s="11" t="n">
        <f aca="false">0</f>
        <v>0</v>
      </c>
    </row>
    <row r="19" customFormat="false" ht="15" hidden="false" customHeight="false" outlineLevel="0" collapsed="false">
      <c r="A19" s="10" t="s">
        <v>24</v>
      </c>
      <c r="B19" s="11" t="n">
        <f aca="false">2000</f>
        <v>2000</v>
      </c>
    </row>
    <row r="20" customFormat="false" ht="15" hidden="false" customHeight="false" outlineLevel="0" collapsed="false">
      <c r="A20" s="10" t="s">
        <v>25</v>
      </c>
      <c r="B20" s="11" t="n">
        <f aca="false">ROUND((14250000-250000)*0.05,0)</f>
        <v>700000</v>
      </c>
    </row>
    <row r="21" customFormat="false" ht="15" hidden="false" customHeight="false" outlineLevel="0" collapsed="false">
      <c r="A21" s="9" t="s">
        <v>26</v>
      </c>
      <c r="B21" s="12" t="n">
        <f aca="false">B18+B19+B20</f>
        <v>702000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2026-06-29T11:14:18Z</dcterms:created>
  <dc:creator>openpyxl</dc:creator>
  <dc:description/>
  <dc:language>en-US</dc:language>
  <cp:lastModifiedBy/>
  <dcterms:modified xsi:type="dcterms:W3CDTF">2026-06-29T11:14:18Z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