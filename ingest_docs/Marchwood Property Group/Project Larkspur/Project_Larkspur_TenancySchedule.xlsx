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c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<sst xmlns="http://schemas.openxmlformats.org/spreadsheetml/2006/main" count="45" uniqueCount="44">
  <si>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Project Larkspur — Tenancy &amp; Rent Schedule</t>
  </si>
  <si>
    <t xml:space="preserve">Kestrel House, 14 Forbury Road, Reading RG1 3JH  |  Title BK482176  |  As at 24 April 2026</t>
  </si>
  <si>
    <t xml:space="preserve">Unit / Demise</t>
  </si>
  <si>
    <t xml:space="preserve">Tenant</t>
  </si>
  <si>
    <t xml:space="preserve">Lease start</t>
  </si>
  <si>
    <t xml:space="preserve">Term (yrs)</t>
  </si>
  <si>
    <t xml:space="preserve">Expiry</t>
  </si>
  <si>
    <t xml:space="preserve">Break date</t>
  </si>
  <si>
    <t xml:space="preserve">Area (sq ft)</t>
  </si>
  <si>
    <t xml:space="preserve">Rent p.a.x. (£)</t>
  </si>
  <si>
    <t xml:space="preserve">Rent (£/sq ft)</t>
  </si>
  <si>
    <t xml:space="preserve">Rent deposit (£)</t>
  </si>
  <si>
    <t xml:space="preserve">Ground &amp; 1st floors</t>
  </si>
  <si>
    <t xml:space="preserve">Aldermere Software Ltd</t>
  </si>
  <si>
    <t xml:space="preserve">12/06/2017</t>
  </si>
  <si>
    <t xml:space="preserve">11/06/2032</t>
  </si>
  <si>
    <t xml:space="preserve">11/06/2027</t>
  </si>
  <si>
    <t xml:space="preserve">2nd floor</t>
  </si>
  <si>
    <t xml:space="preserve">Harben Reilly LLP</t>
  </si>
  <si>
    <t xml:space="preserve">03/09/2020</t>
  </si>
  <si>
    <t xml:space="preserve">02/09/2030</t>
  </si>
  <si>
    <t xml:space="preserve">3rd floor</t>
  </si>
  <si>
    <t xml:space="preserve">Trevose Underwriting Ltd</t>
  </si>
  <si>
    <t xml:space="preserve">01/04/2021</t>
  </si>
  <si>
    <t xml:space="preserve">31/03/2031</t>
  </si>
  <si>
    <t xml:space="preserve">31/03/2028</t>
  </si>
  <si>
    <t xml:space="preserve">4th floor (part)</t>
  </si>
  <si>
    <t xml:space="preserve">Caldermoor Recruitment Ltd</t>
  </si>
  <si>
    <t xml:space="preserve">14/10/2023</t>
  </si>
  <si>
    <t xml:space="preserve">13/10/2028</t>
  </si>
  <si>
    <t xml:space="preserve">Penn &amp; Vail Architects</t>
  </si>
  <si>
    <t xml:space="preserve">22/11/2023</t>
  </si>
  <si>
    <t xml:space="preserve">21/11/2033</t>
  </si>
  <si>
    <t xml:space="preserve">21/11/2028</t>
  </si>
  <si>
    <t xml:space="preserve">Café unit (ground)</t>
  </si>
  <si>
    <t xml:space="preserve">Forbury Coffee Co. Ltd</t>
  </si>
  <si>
    <t xml:space="preserve">09/01/2022</t>
  </si>
  <si>
    <t xml:space="preserve">08/01/2030</t>
  </si>
  <si>
    <t xml:space="preserve">TOTAL / WEIGHTED</t>
  </si>
  <si>
    <t xml:space="preserve">Total passing rent p.a.x.</t>
  </si>
  <si>
    <t xml:space="preserve">Total net internal area (sq ft)</t>
  </si>
  <si>
    <t xml:space="preserve">Purchase price (excl VAT)</t>
  </si>
  <si>
    <t xml:space="preserve">Net initial yield</t>
  </si>
  <si>
    <t xml:space="preserve">Total rent deposits held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</si>
</sst>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£#,##0"/>
    <numFmt numFmtId="167" formatCode="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7" min="5" style="1" width="12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 t="s">
        <v>13</v>
      </c>
      <c r="C5" s="5" t="s">
        <v>14</v>
      </c>
      <c r="D5" s="5" t="n">
        <v>15</v>
      </c>
      <c r="E5" s="5" t="s">
        <v>15</v>
      </c>
      <c r="F5" s="5" t="s">
        <v>16</v>
      </c>
      <c r="G5" s="6" t="n">
        <v>14200</v>
      </c>
      <c r="H5" s="7" t="n">
        <v>402000</v>
      </c>
      <c r="I5" s="8" t="n">
        <f aca="false">H5/G5</f>
        <v>28.3098591549296</v>
      </c>
      <c r="J5" s="5"/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5" t="n">
        <v>10</v>
      </c>
      <c r="E6" s="5" t="s">
        <v>20</v>
      </c>
      <c r="F6" s="5"/>
      <c r="G6" s="6" t="n">
        <v>6850</v>
      </c>
      <c r="H6" s="7" t="n">
        <v>196500</v>
      </c>
      <c r="I6" s="8" t="n">
        <f aca="false">H6/G6</f>
        <v>28.6861313868613</v>
      </c>
      <c r="J6" s="5"/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  <c r="D7" s="5" t="n">
        <v>10</v>
      </c>
      <c r="E7" s="5" t="s">
        <v>24</v>
      </c>
      <c r="F7" s="5" t="s">
        <v>25</v>
      </c>
      <c r="G7" s="6" t="n">
        <v>6700</v>
      </c>
      <c r="H7" s="7" t="n">
        <v>188000</v>
      </c>
      <c r="I7" s="8" t="n">
        <f aca="false">H7/G7</f>
        <v>28.0597014925373</v>
      </c>
      <c r="J7" s="7" t="n">
        <v>49125</v>
      </c>
    </row>
    <row r="8" customFormat="false" ht="15" hidden="false" customHeight="false" outlineLevel="0" collapsed="false">
      <c r="A8" s="5" t="s">
        <v>26</v>
      </c>
      <c r="B8" s="5" t="s">
        <v>27</v>
      </c>
      <c r="C8" s="5" t="s">
        <v>28</v>
      </c>
      <c r="D8" s="5" t="n">
        <v>5</v>
      </c>
      <c r="E8" s="5" t="s">
        <v>29</v>
      </c>
      <c r="F8" s="5"/>
      <c r="G8" s="6" t="n">
        <v>3400</v>
      </c>
      <c r="H8" s="7" t="n">
        <v>96000</v>
      </c>
      <c r="I8" s="8" t="n">
        <f aca="false">H8/G8</f>
        <v>28.2352941176471</v>
      </c>
      <c r="J8" s="7" t="n">
        <v>24000</v>
      </c>
    </row>
    <row r="9" customFormat="false" ht="15" hidden="false" customHeight="false" outlineLevel="0" collapsed="false">
      <c r="A9" s="5" t="s">
        <v>26</v>
      </c>
      <c r="B9" s="5" t="s">
        <v>30</v>
      </c>
      <c r="C9" s="5" t="s">
        <v>31</v>
      </c>
      <c r="D9" s="5" t="n">
        <v>10</v>
      </c>
      <c r="E9" s="5" t="s">
        <v>32</v>
      </c>
      <c r="F9" s="5" t="s">
        <v>33</v>
      </c>
      <c r="G9" s="6" t="n">
        <v>3680</v>
      </c>
      <c r="H9" s="7" t="n">
        <v>104000</v>
      </c>
      <c r="I9" s="8" t="n">
        <f aca="false">H9/G9</f>
        <v>28.2608695652174</v>
      </c>
      <c r="J9" s="5"/>
    </row>
    <row r="10" customFormat="false" ht="15" hidden="false" customHeight="false" outlineLevel="0" collapsed="false">
      <c r="A10" s="5" t="s">
        <v>34</v>
      </c>
      <c r="B10" s="5" t="s">
        <v>35</v>
      </c>
      <c r="C10" s="5" t="s">
        <v>36</v>
      </c>
      <c r="D10" s="5" t="n">
        <v>8</v>
      </c>
      <c r="E10" s="5" t="s">
        <v>37</v>
      </c>
      <c r="F10" s="5"/>
      <c r="G10" s="6" t="n">
        <v>1590</v>
      </c>
      <c r="H10" s="7" t="n">
        <v>55000</v>
      </c>
      <c r="I10" s="8" t="n">
        <f aca="false">H10/G10</f>
        <v>34.5911949685535</v>
      </c>
      <c r="J10" s="5"/>
    </row>
    <row r="11" customFormat="false" ht="15" hidden="false" customHeight="false" outlineLevel="0" collapsed="false">
      <c r="A11" s="9" t="s">
        <v>38</v>
      </c>
      <c r="B11" s="9"/>
      <c r="C11" s="9"/>
      <c r="D11" s="9"/>
      <c r="E11" s="9"/>
      <c r="F11" s="9"/>
      <c r="G11" s="10" t="n">
        <f aca="false">SUM(G5:G10)</f>
        <v>36420</v>
      </c>
      <c r="H11" s="11" t="n">
        <f aca="false">SUM(H5:H10)</f>
        <v>1041500</v>
      </c>
      <c r="I11" s="12" t="n">
        <f aca="false">H11/G11</f>
        <v>28.5969247666118</v>
      </c>
      <c r="J11" s="11" t="n">
        <f aca="false">SUM(J5:J10)</f>
        <v>73125</v>
      </c>
    </row>
    <row r="13" customFormat="false" ht="15" hidden="false" customHeight="false" outlineLevel="0" collapsed="false">
      <c r="A13" s="13" t="s">
        <v>39</v>
      </c>
      <c r="B13" s="14" t="n">
        <f aca="false">H11</f>
        <v>1041500</v>
      </c>
    </row>
    <row r="14" customFormat="false" ht="15" hidden="false" customHeight="false" outlineLevel="0" collapsed="false">
      <c r="A14" s="13" t="s">
        <v>40</v>
      </c>
      <c r="B14" s="15" t="n">
        <f aca="false">G11</f>
        <v>36420</v>
      </c>
    </row>
    <row r="15" customFormat="false" ht="15" hidden="false" customHeight="false" outlineLevel="0" collapsed="false">
      <c r="A15" s="13" t="s">
        <v>41</v>
      </c>
      <c r="B15" s="16" t="n">
        <v>14250000</v>
      </c>
    </row>
    <row r="16" customFormat="false" ht="15" hidden="false" customHeight="false" outlineLevel="0" collapsed="false">
      <c r="A16" s="13" t="s">
        <v>42</v>
      </c>
      <c r="B16" s="17" t="n">
        <f aca="false">H11/B15</f>
        <v>0.0730877192982456</v>
      </c>
    </row>
    <row r="17" customFormat="false" ht="15" hidden="false" customHeight="false" outlineLevel="0" collapsed="false">
      <c r="A17" s="13" t="s">
        <v>43</v>
      </c>
      <c r="B17" s="14" t="n">
        <f aca="false">J11</f>
        <v>73125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2026-06-29T11:14:18Z</dcterms:created>
  <dc:creator>openpyxl</dc:creator>
  <dc:description/>
  <dc:language>en-US</dc:language>
  <cp:lastModifiedBy/>
  <dcterms:modified xsi:type="dcterms:W3CDTF">2026-06-29T11:14:18Z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