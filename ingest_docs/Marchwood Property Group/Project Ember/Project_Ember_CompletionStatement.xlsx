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<sst xmlns="http://schemas.openxmlformats.org/spreadsheetml/2006/main" count="37" uniqueCount="37">
  <si>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PROJECT EMBER — Completion Statement</t>
  </si>
  <si>
    <t xml:space="preserve">Buyer: Marchwood Property Group Ltd  ·  Seller: Westmoreland Property Holdings Ltd</t>
  </si>
  <si>
    <t xml:space="preserve">Property: Ashby House, 40 Curzon Street, London W1J 7TL  ·  Completion: 15 May 2026  ·  Quarter day: 25 March 2026</t>
  </si>
  <si>
    <t xml:space="preserve">Apportionments for the quarter 25 Mar 2026 to 23 Jun 2026 (91 days); Buyer entitled from 15 May 2026 (40 days).</t>
  </si>
  <si>
    <t xml:space="preserve">Key figures</t>
  </si>
  <si>
    <t xml:space="preserve">Purchase price (£)</t>
  </si>
  <si>
    <t xml:space="preserve">Deposit paid on exchange (10%)</t>
  </si>
  <si>
    <t xml:space="preserve">Annual passing rent (£)</t>
  </si>
  <si>
    <t xml:space="preserve">Quarterly rent (passing/4)</t>
  </si>
  <si>
    <t xml:space="preserve">Days in quarter</t>
  </si>
  <si>
    <t xml:space="preserve">Days Buyer entitled (completion to quarter end)</t>
  </si>
  <si>
    <t xml:space="preserve">Service charge retention (£)</t>
  </si>
  <si>
    <t xml:space="preserve">Rent deposits transferred to Buyer (£)</t>
  </si>
  <si>
    <t xml:space="preserve">Insurance rent apportionment — Buyer share (£)</t>
  </si>
  <si>
    <t xml:space="preserve">Arrears apportioned (Seller paid quarter; collected by Buyer) (£)</t>
  </si>
  <si>
    <t xml:space="preserve">Statement</t>
  </si>
  <si>
    <t xml:space="preserve">Item</t>
  </si>
  <si>
    <t xml:space="preserve">Note</t>
  </si>
  <si>
    <t xml:space="preserve">Due to Seller (£)</t>
  </si>
  <si>
    <t xml:space="preserve">Due to Buyer (£)</t>
  </si>
  <si>
    <t xml:space="preserve">Purchase price</t>
  </si>
  <si>
    <t xml:space="preserve">clause 3</t>
  </si>
  <si>
    <t xml:space="preserve">Less: deposit paid on exchange</t>
  </si>
  <si>
    <t xml:space="preserve">credit to Buyer</t>
  </si>
  <si>
    <t xml:space="preserve">Apportioned rent (Seller paid quarter in advance; Buyer's share)</t>
  </si>
  <si>
    <t xml:space="preserve">40 of 91 days</t>
  </si>
  <si>
    <t xml:space="preserve">Service charge retention</t>
  </si>
  <si>
    <t xml:space="preserve">held by Buyer's solicitor</t>
  </si>
  <si>
    <t xml:space="preserve">Rent deposits transferred to Buyer</t>
  </si>
  <si>
    <t xml:space="preserve">Schedule 1 / RDD</t>
  </si>
  <si>
    <t xml:space="preserve">Insurance rent apportionment</t>
  </si>
  <si>
    <t xml:space="preserve">Buyer share</t>
  </si>
  <si>
    <t xml:space="preserve">Apportioned arrears (Seller share, collected by Buyer)</t>
  </si>
  <si>
    <t xml:space="preserve">reply 10.4</t>
  </si>
  <si>
    <t xml:space="preserve">Sub-totals</t>
  </si>
  <si>
    <t xml:space="preserve">Balance due from Buyer on completion</t>
  </si>
  <si>
    <t xml:space="preserve">Note: SDLT of £1,649,750 and Land Registry fees are payable by the Buyer separately and are not part of the completion monies to the Seller.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</si>
</sst>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5E8F0"/>
        <bgColor rgb="FFCCFFFF"/>
      </patternFill>
    </fill>
    <fill>
      <patternFill patternType="solid">
        <fgColor rgb="FFC6E0B4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5" t="s">
        <v>5</v>
      </c>
      <c r="B7" s="6" t="n">
        <v>24750000</v>
      </c>
    </row>
    <row r="8" customFormat="false" ht="15" hidden="false" customHeight="false" outlineLevel="0" collapsed="false">
      <c r="A8" s="5" t="s">
        <v>6</v>
      </c>
      <c r="B8" s="6" t="n">
        <v>2475000</v>
      </c>
    </row>
    <row r="9" customFormat="false" ht="15" hidden="false" customHeight="false" outlineLevel="0" collapsed="false">
      <c r="A9" s="5" t="s">
        <v>7</v>
      </c>
      <c r="B9" s="6" t="n">
        <v>1608750</v>
      </c>
    </row>
    <row r="10" customFormat="false" ht="15" hidden="false" customHeight="false" outlineLevel="0" collapsed="false">
      <c r="A10" s="5" t="s">
        <v>8</v>
      </c>
      <c r="B10" s="7" t="n">
        <f aca="false">B9/4</f>
        <v>402187.5</v>
      </c>
    </row>
    <row r="11" customFormat="false" ht="15" hidden="false" customHeight="false" outlineLevel="0" collapsed="false">
      <c r="A11" s="5" t="s">
        <v>9</v>
      </c>
      <c r="B11" s="6" t="n">
        <v>91</v>
      </c>
    </row>
    <row r="12" customFormat="false" ht="15" hidden="false" customHeight="false" outlineLevel="0" collapsed="false">
      <c r="A12" s="5" t="s">
        <v>10</v>
      </c>
      <c r="B12" s="6" t="n">
        <v>40</v>
      </c>
    </row>
    <row r="13" customFormat="false" ht="15" hidden="false" customHeight="false" outlineLevel="0" collapsed="false">
      <c r="A13" s="5" t="s">
        <v>11</v>
      </c>
      <c r="B13" s="6" t="n">
        <v>100000</v>
      </c>
    </row>
    <row r="14" customFormat="false" ht="15" hidden="false" customHeight="false" outlineLevel="0" collapsed="false">
      <c r="A14" s="5" t="s">
        <v>12</v>
      </c>
      <c r="B14" s="6" t="n">
        <v>318400</v>
      </c>
    </row>
    <row r="15" customFormat="false" ht="15" hidden="false" customHeight="false" outlineLevel="0" collapsed="false">
      <c r="A15" s="5" t="s">
        <v>13</v>
      </c>
      <c r="B15" s="6" t="n">
        <v>7185</v>
      </c>
    </row>
    <row r="16" customFormat="false" ht="15" hidden="false" customHeight="false" outlineLevel="0" collapsed="false">
      <c r="A16" s="5" t="s">
        <v>14</v>
      </c>
      <c r="B16" s="6" t="n">
        <v>14300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8" t="s">
        <v>16</v>
      </c>
      <c r="B20" s="8" t="s">
        <v>17</v>
      </c>
      <c r="C20" s="8" t="s">
        <v>18</v>
      </c>
      <c r="D20" s="8" t="s">
        <v>19</v>
      </c>
    </row>
    <row r="21" customFormat="false" ht="15" hidden="false" customHeight="false" outlineLevel="0" collapsed="false">
      <c r="A21" s="9" t="s">
        <v>20</v>
      </c>
      <c r="B21" s="10" t="s">
        <v>21</v>
      </c>
      <c r="C21" s="11" t="n">
        <f aca="false">B7</f>
        <v>24750000</v>
      </c>
      <c r="D21" s="12"/>
    </row>
    <row r="22" customFormat="false" ht="15" hidden="false" customHeight="false" outlineLevel="0" collapsed="false">
      <c r="A22" s="9" t="s">
        <v>22</v>
      </c>
      <c r="B22" s="10" t="s">
        <v>23</v>
      </c>
      <c r="C22" s="12"/>
      <c r="D22" s="11" t="n">
        <f aca="false">B8</f>
        <v>2475000</v>
      </c>
    </row>
    <row r="23" customFormat="false" ht="15" hidden="false" customHeight="false" outlineLevel="0" collapsed="false">
      <c r="A23" s="9" t="s">
        <v>24</v>
      </c>
      <c r="B23" s="10" t="s">
        <v>25</v>
      </c>
      <c r="C23" s="12"/>
      <c r="D23" s="11" t="n">
        <f aca="false">B10*B12/B11</f>
        <v>176785.714285714</v>
      </c>
    </row>
    <row r="24" customFormat="false" ht="15" hidden="false" customHeight="false" outlineLevel="0" collapsed="false">
      <c r="A24" s="9" t="s">
        <v>26</v>
      </c>
      <c r="B24" s="10" t="s">
        <v>27</v>
      </c>
      <c r="C24" s="12"/>
      <c r="D24" s="11" t="n">
        <f aca="false">B13</f>
        <v>100000</v>
      </c>
    </row>
    <row r="25" customFormat="false" ht="15" hidden="false" customHeight="false" outlineLevel="0" collapsed="false">
      <c r="A25" s="9" t="s">
        <v>28</v>
      </c>
      <c r="B25" s="10" t="s">
        <v>29</v>
      </c>
      <c r="C25" s="12"/>
      <c r="D25" s="11" t="n">
        <f aca="false">B14</f>
        <v>318400</v>
      </c>
    </row>
    <row r="26" customFormat="false" ht="15" hidden="false" customHeight="false" outlineLevel="0" collapsed="false">
      <c r="A26" s="9" t="s">
        <v>30</v>
      </c>
      <c r="B26" s="10" t="s">
        <v>31</v>
      </c>
      <c r="C26" s="11" t="n">
        <f aca="false">B15</f>
        <v>7185</v>
      </c>
      <c r="D26" s="12"/>
    </row>
    <row r="27" customFormat="false" ht="15" hidden="false" customHeight="false" outlineLevel="0" collapsed="false">
      <c r="A27" s="9" t="s">
        <v>32</v>
      </c>
      <c r="B27" s="10" t="s">
        <v>33</v>
      </c>
      <c r="C27" s="11" t="n">
        <f aca="false">B16</f>
        <v>14300</v>
      </c>
      <c r="D27" s="12"/>
    </row>
    <row r="28" customFormat="false" ht="15" hidden="false" customHeight="false" outlineLevel="0" collapsed="false">
      <c r="A28" s="13" t="s">
        <v>34</v>
      </c>
      <c r="B28" s="13"/>
      <c r="C28" s="14" t="n">
        <f aca="false">SUM(C21:C27)</f>
        <v>24771485</v>
      </c>
      <c r="D28" s="14" t="n">
        <f aca="false">SUM(D21:D27)</f>
        <v>3070185.71428571</v>
      </c>
    </row>
    <row r="29" customFormat="false" ht="15" hidden="false" customHeight="false" outlineLevel="0" collapsed="false">
      <c r="A29" s="15" t="s">
        <v>35</v>
      </c>
      <c r="B29" s="15"/>
      <c r="C29" s="16" t="n">
        <f aca="false">C28-D28</f>
        <v>21701299.2857143</v>
      </c>
      <c r="D29" s="15"/>
    </row>
    <row r="31" customFormat="false" ht="15" hidden="false" customHeight="false" outlineLevel="0" collapsed="false">
      <c r="A31" s="1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2026-06-26T02:44:23Z</dcterms:created>
  <dc:creator>openpyxl</dc:creator>
  <dc:description/>
  <dc:language>en-US</dc:language>
  <cp:lastModifiedBy/>
  <dcterms:modified xsi:type="dcterms:W3CDTF">2026-06-26T02:44:23Z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