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nancy Schedul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<sst xmlns="http://schemas.openxmlformats.org/spreadsheetml/2006/main" count="73" uniqueCount="56">
  <si>
    <t xml:space="preserve">PROJECT EMBER — Tenancy Schedule</t>
  </si>
  <si>
    <t xml:space="preserve">Ashby House, 40 Curzon Street, London W1J 7TL  ·  As at 31 March 2026</t>
  </si>
  <si>
    <t xml:space="preserve">Unit / floor</t>
  </si>
  <si>
    <t xml:space="preserve">Tenant</t>
  </si>
  <si>
    <t xml:space="preserve">Use</t>
  </si>
  <si>
    <t xml:space="preserve">Lease start</t>
  </si>
  <si>
    <t xml:space="preserve">Lease expiry</t>
  </si>
  <si>
    <t xml:space="preserve">Break date</t>
  </si>
  <si>
    <t xml:space="preserve">Next rent review</t>
  </si>
  <si>
    <t xml:space="preserve">Area (sq ft)</t>
  </si>
  <si>
    <t xml:space="preserve">Passing rent (£ pa)</t>
  </si>
  <si>
    <t xml:space="preserve">Rent (£/sq ft)</t>
  </si>
  <si>
    <t xml:space="preserve">Rent deposit (£)</t>
  </si>
  <si>
    <t xml:space="preserve">Arrears (£)</t>
  </si>
  <si>
    <t xml:space="preserve">Ground &amp; first</t>
  </si>
  <si>
    <t xml:space="preserve">Aldous Capital LLP</t>
  </si>
  <si>
    <t xml:space="preserve">Office</t>
  </si>
  <si>
    <t xml:space="preserve">25/03/2019</t>
  </si>
  <si>
    <t xml:space="preserve">24/03/2034</t>
  </si>
  <si>
    <t xml:space="preserve">25/03/2029</t>
  </si>
  <si>
    <t xml:space="preserve">Fourth &amp; fifth</t>
  </si>
  <si>
    <t xml:space="preserve">Third</t>
  </si>
  <si>
    <t xml:space="preserve">Brindley Marketing Limited</t>
  </si>
  <si>
    <t xml:space="preserve">29/09/2021</t>
  </si>
  <si>
    <t xml:space="preserve">28/09/2031</t>
  </si>
  <si>
    <t xml:space="preserve">29/09/2026</t>
  </si>
  <si>
    <t xml:space="preserve">Second</t>
  </si>
  <si>
    <t xml:space="preserve">Calderfield Recruitment Ltd</t>
  </si>
  <si>
    <t xml:space="preserve">24/06/2020</t>
  </si>
  <si>
    <t xml:space="preserve">23/06/2030</t>
  </si>
  <si>
    <t xml:space="preserve">24/06/2025</t>
  </si>
  <si>
    <t xml:space="preserve">Sixth</t>
  </si>
  <si>
    <t xml:space="preserve">Whitstable Advisory LLP</t>
  </si>
  <si>
    <t xml:space="preserve">25/12/2022</t>
  </si>
  <si>
    <t xml:space="preserve">24/12/2032</t>
  </si>
  <si>
    <t xml:space="preserve">25/12/2027</t>
  </si>
  <si>
    <t xml:space="preserve">Seventh (penthouse)</t>
  </si>
  <si>
    <t xml:space="preserve">Norhampton Family Office Ltd</t>
  </si>
  <si>
    <t xml:space="preserve">25/03/2023</t>
  </si>
  <si>
    <t xml:space="preserve">24/03/2035</t>
  </si>
  <si>
    <t xml:space="preserve">25/03/2030</t>
  </si>
  <si>
    <t xml:space="preserve">25/03/2028</t>
  </si>
  <si>
    <t xml:space="preserve">Lower ground</t>
  </si>
  <si>
    <t xml:space="preserve">Storage/parking</t>
  </si>
  <si>
    <t xml:space="preserve">Total / weighted</t>
  </si>
  <si>
    <t xml:space="preserve">Investment metrics</t>
  </si>
  <si>
    <t xml:space="preserve">Purchase price (£)</t>
  </si>
  <si>
    <t xml:space="preserve">Gross passing rent (£ pa)</t>
  </si>
  <si>
    <t xml:space="preserve">Purchaser costs (%)</t>
  </si>
  <si>
    <t xml:space="preserve">Gross purchase cost (£)</t>
  </si>
  <si>
    <t xml:space="preserve">Net initial yield (%)</t>
  </si>
  <si>
    <t xml:space="preserve">Gross initial yield (%)</t>
  </si>
  <si>
    <t xml:space="preserve">Total area (sq ft)</t>
  </si>
  <si>
    <t xml:space="preserve">Capital value (£/sq ft)</t>
  </si>
  <si>
    <t xml:space="preserve">WAULT to expiry (yrs)</t>
  </si>
  <si>
    <t xml:space="preserve">WAULT to break (yrs)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</si>
</sst>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#,##0;\(#,##0\);\-"/>
    <numFmt numFmtId="167" formatCode="0.00"/>
    <numFmt numFmtId="168" formatCode="0.00%"/>
    <numFmt numFmtId="169" formatCode="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5E8F0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5E8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6" min="4" style="0" width="12"/>
    <col collapsed="false" customWidth="true" hidden="false" outlineLevel="0" max="7" min="7" style="0" width="16"/>
    <col collapsed="false" customWidth="true" hidden="false" outlineLevel="0" max="8" min="8" style="0" width="12"/>
    <col collapsed="false" customWidth="true" hidden="false" outlineLevel="0" max="9" min="9" style="0" width="16"/>
    <col collapsed="false" customWidth="true" hidden="false" outlineLevel="0" max="10" min="10" style="0" width="12"/>
    <col collapsed="false" customWidth="true" hidden="false" outlineLevel="0" max="11" min="11" style="0" width="14"/>
    <col collapsed="false" customWidth="true" hidden="false" outlineLevel="0" max="12" min="12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customFormat="false" ht="15" hidden="false" customHeight="false" outlineLevel="0" collapsed="false">
      <c r="A5" s="4" t="s">
        <v>14</v>
      </c>
      <c r="B5" s="4" t="s">
        <v>15</v>
      </c>
      <c r="C5" s="4" t="s">
        <v>16</v>
      </c>
      <c r="D5" s="4" t="s">
        <v>17</v>
      </c>
      <c r="E5" s="4" t="s">
        <v>18</v>
      </c>
      <c r="F5" s="4" t="s">
        <v>19</v>
      </c>
      <c r="G5" s="4" t="s">
        <v>19</v>
      </c>
      <c r="H5" s="5" t="n">
        <v>9120</v>
      </c>
      <c r="I5" s="6" t="n">
        <v>486000</v>
      </c>
      <c r="J5" s="7" t="n">
        <f aca="false">IF(H5=0,0,I5/H5)</f>
        <v>53.2894736842105</v>
      </c>
      <c r="K5" s="6" t="n">
        <v>0</v>
      </c>
      <c r="L5" s="6" t="n">
        <v>0</v>
      </c>
    </row>
    <row r="6" customFormat="false" ht="15" hidden="false" customHeight="false" outlineLevel="0" collapsed="false">
      <c r="A6" s="4" t="s">
        <v>20</v>
      </c>
      <c r="B6" s="4" t="s">
        <v>15</v>
      </c>
      <c r="C6" s="4" t="s">
        <v>16</v>
      </c>
      <c r="D6" s="4" t="s">
        <v>17</v>
      </c>
      <c r="E6" s="4" t="s">
        <v>18</v>
      </c>
      <c r="F6" s="4" t="s">
        <v>19</v>
      </c>
      <c r="G6" s="4" t="s">
        <v>19</v>
      </c>
      <c r="H6" s="5" t="n">
        <v>7360</v>
      </c>
      <c r="I6" s="6" t="n">
        <v>392000</v>
      </c>
      <c r="J6" s="7" t="n">
        <f aca="false">IF(H6=0,0,I6/H6)</f>
        <v>53.2608695652174</v>
      </c>
      <c r="K6" s="6" t="n">
        <v>196000</v>
      </c>
      <c r="L6" s="6" t="n">
        <v>0</v>
      </c>
    </row>
    <row r="7" customFormat="false" ht="15" hidden="false" customHeight="false" outlineLevel="0" collapsed="false">
      <c r="A7" s="4" t="s">
        <v>21</v>
      </c>
      <c r="B7" s="4" t="s">
        <v>22</v>
      </c>
      <c r="C7" s="4" t="s">
        <v>16</v>
      </c>
      <c r="D7" s="4" t="s">
        <v>23</v>
      </c>
      <c r="E7" s="4" t="s">
        <v>24</v>
      </c>
      <c r="F7" s="4" t="s">
        <v>25</v>
      </c>
      <c r="G7" s="4" t="s">
        <v>25</v>
      </c>
      <c r="H7" s="5" t="n">
        <v>4590</v>
      </c>
      <c r="I7" s="6" t="n">
        <v>244800</v>
      </c>
      <c r="J7" s="7" t="n">
        <f aca="false">IF(H7=0,0,I7/H7)</f>
        <v>53.3333333333333</v>
      </c>
      <c r="K7" s="6" t="n">
        <v>122400</v>
      </c>
      <c r="L7" s="6" t="n">
        <v>0</v>
      </c>
    </row>
    <row r="8" customFormat="false" ht="15" hidden="false" customHeight="false" outlineLevel="0" collapsed="false">
      <c r="A8" s="4" t="s">
        <v>26</v>
      </c>
      <c r="B8" s="4" t="s">
        <v>27</v>
      </c>
      <c r="C8" s="4" t="s">
        <v>16</v>
      </c>
      <c r="D8" s="4" t="s">
        <v>28</v>
      </c>
      <c r="E8" s="4" t="s">
        <v>29</v>
      </c>
      <c r="F8" s="4"/>
      <c r="G8" s="4" t="s">
        <v>30</v>
      </c>
      <c r="H8" s="5" t="n">
        <v>3360</v>
      </c>
      <c r="I8" s="6" t="n">
        <v>178750</v>
      </c>
      <c r="J8" s="7" t="n">
        <f aca="false">IF(H8=0,0,I8/H8)</f>
        <v>53.1994047619048</v>
      </c>
      <c r="K8" s="6" t="n">
        <v>0</v>
      </c>
      <c r="L8" s="6" t="n">
        <v>14300</v>
      </c>
    </row>
    <row r="9" customFormat="false" ht="15" hidden="false" customHeight="false" outlineLevel="0" collapsed="false">
      <c r="A9" s="4" t="s">
        <v>31</v>
      </c>
      <c r="B9" s="4" t="s">
        <v>32</v>
      </c>
      <c r="C9" s="4" t="s">
        <v>16</v>
      </c>
      <c r="D9" s="4" t="s">
        <v>33</v>
      </c>
      <c r="E9" s="4" t="s">
        <v>34</v>
      </c>
      <c r="F9" s="4" t="s">
        <v>35</v>
      </c>
      <c r="G9" s="4" t="s">
        <v>35</v>
      </c>
      <c r="H9" s="5" t="n">
        <v>3180</v>
      </c>
      <c r="I9" s="6" t="n">
        <v>168300</v>
      </c>
      <c r="J9" s="7" t="n">
        <f aca="false">IF(H9=0,0,I9/H9)</f>
        <v>52.9245283018868</v>
      </c>
      <c r="K9" s="6" t="n">
        <v>0</v>
      </c>
      <c r="L9" s="6" t="n">
        <v>0</v>
      </c>
    </row>
    <row r="10" customFormat="false" ht="15" hidden="false" customHeight="false" outlineLevel="0" collapsed="false">
      <c r="A10" s="4" t="s">
        <v>36</v>
      </c>
      <c r="B10" s="4" t="s">
        <v>37</v>
      </c>
      <c r="C10" s="4" t="s">
        <v>16</v>
      </c>
      <c r="D10" s="4" t="s">
        <v>38</v>
      </c>
      <c r="E10" s="4" t="s">
        <v>39</v>
      </c>
      <c r="F10" s="4" t="s">
        <v>40</v>
      </c>
      <c r="G10" s="4" t="s">
        <v>41</v>
      </c>
      <c r="H10" s="5" t="n">
        <v>2110</v>
      </c>
      <c r="I10" s="6" t="n">
        <v>112500</v>
      </c>
      <c r="J10" s="7" t="n">
        <f aca="false">IF(H10=0,0,I10/H10)</f>
        <v>53.3175355450237</v>
      </c>
      <c r="K10" s="6" t="n">
        <v>0</v>
      </c>
      <c r="L10" s="6" t="n">
        <v>0</v>
      </c>
    </row>
    <row r="11" customFormat="false" ht="15" hidden="false" customHeight="false" outlineLevel="0" collapsed="false">
      <c r="A11" s="4" t="s">
        <v>42</v>
      </c>
      <c r="B11" s="4" t="s">
        <v>15</v>
      </c>
      <c r="C11" s="4" t="s">
        <v>43</v>
      </c>
      <c r="D11" s="4" t="s">
        <v>17</v>
      </c>
      <c r="E11" s="4" t="s">
        <v>18</v>
      </c>
      <c r="F11" s="4"/>
      <c r="G11" s="4" t="s">
        <v>19</v>
      </c>
      <c r="H11" s="5" t="n">
        <v>8700</v>
      </c>
      <c r="I11" s="6" t="n">
        <v>26400</v>
      </c>
      <c r="J11" s="7" t="n">
        <f aca="false">IF(H11=0,0,I11/H11)</f>
        <v>3.03448275862069</v>
      </c>
      <c r="K11" s="6" t="n">
        <v>0</v>
      </c>
      <c r="L11" s="6" t="n">
        <v>0</v>
      </c>
    </row>
    <row r="12" customFormat="false" ht="15" hidden="false" customHeight="false" outlineLevel="0" collapsed="false">
      <c r="A12" s="8" t="s">
        <v>44</v>
      </c>
      <c r="B12" s="8"/>
      <c r="C12" s="8"/>
      <c r="D12" s="8"/>
      <c r="E12" s="8"/>
      <c r="F12" s="8"/>
      <c r="G12" s="8"/>
      <c r="H12" s="9" t="n">
        <f aca="false">SUM(H5:H11)</f>
        <v>38420</v>
      </c>
      <c r="I12" s="10" t="n">
        <f aca="false">SUM(I5:I11)</f>
        <v>1608750</v>
      </c>
      <c r="J12" s="11" t="n">
        <f aca="false">IF(H12=0,0,I12/H12)</f>
        <v>41.8727225403436</v>
      </c>
      <c r="K12" s="10" t="n">
        <f aca="false">SUM(K5:K11)</f>
        <v>318400</v>
      </c>
      <c r="L12" s="10" t="n">
        <f aca="false">SUM(L5:L11)</f>
        <v>14300</v>
      </c>
    </row>
    <row r="14" customFormat="false" ht="15" hidden="false" customHeight="false" outlineLevel="0" collapsed="false">
      <c r="A14" s="12" t="s">
        <v>45</v>
      </c>
    </row>
    <row r="15" customFormat="false" ht="15" hidden="false" customHeight="false" outlineLevel="0" collapsed="false">
      <c r="A15" s="13" t="s">
        <v>46</v>
      </c>
      <c r="B15" s="14" t="n">
        <v>24750000</v>
      </c>
    </row>
    <row r="16" customFormat="false" ht="15" hidden="false" customHeight="false" outlineLevel="0" collapsed="false">
      <c r="A16" s="13" t="s">
        <v>47</v>
      </c>
      <c r="B16" s="15" t="n">
        <f aca="false">I12</f>
        <v>1608750</v>
      </c>
    </row>
    <row r="17" customFormat="false" ht="15" hidden="false" customHeight="false" outlineLevel="0" collapsed="false">
      <c r="A17" s="13" t="s">
        <v>48</v>
      </c>
      <c r="B17" s="16" t="n">
        <v>0.0679</v>
      </c>
    </row>
    <row r="18" customFormat="false" ht="15" hidden="false" customHeight="false" outlineLevel="0" collapsed="false">
      <c r="A18" s="13" t="s">
        <v>49</v>
      </c>
      <c r="B18" s="17" t="n">
        <f aca="false">B15*(1+B17)</f>
        <v>26430525</v>
      </c>
    </row>
    <row r="19" customFormat="false" ht="15" hidden="false" customHeight="false" outlineLevel="0" collapsed="false">
      <c r="A19" s="13" t="s">
        <v>50</v>
      </c>
      <c r="B19" s="18" t="n">
        <f aca="false">B16/B18</f>
        <v>0.0608671223897369</v>
      </c>
    </row>
    <row r="20" customFormat="false" ht="15" hidden="false" customHeight="false" outlineLevel="0" collapsed="false">
      <c r="A20" s="13" t="s">
        <v>51</v>
      </c>
      <c r="B20" s="18" t="n">
        <f aca="false">B16/B15</f>
        <v>0.065</v>
      </c>
    </row>
    <row r="21" customFormat="false" ht="15" hidden="false" customHeight="false" outlineLevel="0" collapsed="false">
      <c r="A21" s="13" t="s">
        <v>52</v>
      </c>
      <c r="B21" s="19" t="n">
        <f aca="false">H12</f>
        <v>38420</v>
      </c>
    </row>
    <row r="22" customFormat="false" ht="15" hidden="false" customHeight="false" outlineLevel="0" collapsed="false">
      <c r="A22" s="13" t="s">
        <v>53</v>
      </c>
      <c r="B22" s="17" t="n">
        <f aca="false">B15/B21</f>
        <v>644.195731389901</v>
      </c>
    </row>
    <row r="23" customFormat="false" ht="15" hidden="false" customHeight="false" outlineLevel="0" collapsed="false">
      <c r="A23" s="13" t="s">
        <v>54</v>
      </c>
      <c r="B23" s="20" t="n">
        <v>8.3</v>
      </c>
    </row>
    <row r="24" customFormat="false" ht="15" hidden="false" customHeight="false" outlineLevel="0" collapsed="false">
      <c r="A24" s="13" t="s">
        <v>55</v>
      </c>
      <c r="B24" s="20" t="n">
        <v>4.6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2026-06-26T02:43:55Z</dcterms:created>
  <dc:creator>openpyxl</dc:creator>
  <dc:description/>
  <dc:language>en-US</dc:language>
  <cp:lastModifiedBy/>
  <dcterms:modified xsi:type="dcterms:W3CDTF">2026-06-26T02:43:55Z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