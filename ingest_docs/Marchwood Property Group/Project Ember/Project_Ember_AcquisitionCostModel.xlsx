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quisition Costs" sheetId="1" state="visible" r:id="rId3"/>
    <sheet name="SDL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<sst xmlns="http://schemas.openxmlformats.org/spreadsheetml/2006/main" count="44" uniqueCount="44">
  <si>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PROJECT EMBER — Acquisition Cost &amp; Yield Model</t>
  </si>
  <si>
    <t xml:space="preserve">Ashby House, 40 Curzon Street, London W1J 7TL</t>
  </si>
  <si>
    <t xml:space="preserve">Item</t>
  </si>
  <si>
    <t xml:space="preserve">Basis</t>
  </si>
  <si>
    <t xml:space="preserve">Amount (£)</t>
  </si>
  <si>
    <t xml:space="preserve">% of price</t>
  </si>
  <si>
    <t xml:space="preserve">Purchase price</t>
  </si>
  <si>
    <t xml:space="preserve">Agreed price</t>
  </si>
  <si>
    <t xml:space="preserve">Stamp Duty Land Tax</t>
  </si>
  <si>
    <t xml:space="preserve">Non-residential rates</t>
  </si>
  <si>
    <t xml:space="preserve">Land Registry fee</t>
  </si>
  <si>
    <t xml:space="preserve">Scale 1</t>
  </si>
  <si>
    <t xml:space="preserve">Buyer legal fees</t>
  </si>
  <si>
    <t xml:space="preserve">WC estimate</t>
  </si>
  <si>
    <t xml:space="preserve">Buyer agent / acquisition fee</t>
  </si>
  <si>
    <t xml:space="preserve">0.75% of price</t>
  </si>
  <si>
    <t xml:space="preserve">Building &amp; measured survey</t>
  </si>
  <si>
    <t xml:space="preserve">Quote</t>
  </si>
  <si>
    <t xml:space="preserve">Environmental &amp; searches</t>
  </si>
  <si>
    <t xml:space="preserve">Estimate</t>
  </si>
  <si>
    <t xml:space="preserve">Valuation</t>
  </si>
  <si>
    <t xml:space="preserve">Red Book</t>
  </si>
  <si>
    <t xml:space="preserve">Total acquisition cost</t>
  </si>
  <si>
    <t xml:space="preserve">Yield profile</t>
  </si>
  <si>
    <t xml:space="preserve">Gross passing rent (£ pa)</t>
  </si>
  <si>
    <t xml:space="preserve">Net operating income (after 2.5% non-recoverables) (£ pa)</t>
  </si>
  <si>
    <t xml:space="preserve">Non-recoverable allowance (%)</t>
  </si>
  <si>
    <t xml:space="preserve">Gross initial yield (%)</t>
  </si>
  <si>
    <t xml:space="preserve">Net initial yield (on gross cost) (%)</t>
  </si>
  <si>
    <t xml:space="preserve">ERV (estimated rental value) (£ pa)</t>
  </si>
  <si>
    <t xml:space="preserve">Reversionary yield (%)</t>
  </si>
  <si>
    <t xml:space="preserve">SDLT — Non-residential freehold (England), consideration £24,750,000</t>
  </si>
  <si>
    <t xml:space="preserve">Band</t>
  </si>
  <si>
    <t xml:space="preserve">From (£)</t>
  </si>
  <si>
    <t xml:space="preserve">To (£)</t>
  </si>
  <si>
    <t xml:space="preserve">Rate</t>
  </si>
  <si>
    <t xml:space="preserve">Slice (£)</t>
  </si>
  <si>
    <t xml:space="preserve">Tax (£)</t>
  </si>
  <si>
    <t xml:space="preserve">Up to £150,000</t>
  </si>
  <si>
    <t xml:space="preserve">£150,001–£250,000</t>
  </si>
  <si>
    <t xml:space="preserve">Above £250,000</t>
  </si>
  <si>
    <t xml:space="preserve">Total SDLT</t>
  </si>
  <si>
    <t xml:space="preserve">Note: top band consideration capped at the purchase price; effective rate ≈ total/price.</t>
  </si>
  <si>
    <t xml:space="preserve">Effective rate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</si>
</sst>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0%"/>
    <numFmt numFmtId="167" formatCode="#,##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5E8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s">
        <v>7</v>
      </c>
      <c r="C5" s="7" t="n">
        <v>24750000</v>
      </c>
      <c r="D5" s="8" t="n">
        <f aca="false">C5/$C$5</f>
        <v>1</v>
      </c>
    </row>
    <row r="6" customFormat="false" ht="15" hidden="false" customHeight="true" outlineLevel="0" collapsed="false">
      <c r="A6" s="5" t="s">
        <v>8</v>
      </c>
      <c r="B6" s="6" t="s">
        <v>9</v>
      </c>
      <c r="C6" s="9" t="n">
        <f aca="false">SDLT!B12</f>
        <v>1227000</v>
      </c>
      <c r="D6" s="8" t="n">
        <f aca="false">C6/$C$5</f>
        <v>0.0495757575757576</v>
      </c>
    </row>
    <row r="7" customFormat="false" ht="15" hidden="false" customHeight="true" outlineLevel="0" collapsed="false">
      <c r="A7" s="5" t="s">
        <v>10</v>
      </c>
      <c r="B7" s="6" t="s">
        <v>11</v>
      </c>
      <c r="C7" s="10" t="n">
        <v>910</v>
      </c>
      <c r="D7" s="8" t="n">
        <f aca="false">C7/$C$5</f>
        <v>3.67676767676768E-005</v>
      </c>
    </row>
    <row r="8" customFormat="false" ht="15" hidden="false" customHeight="true" outlineLevel="0" collapsed="false">
      <c r="A8" s="5" t="s">
        <v>12</v>
      </c>
      <c r="B8" s="6" t="s">
        <v>13</v>
      </c>
      <c r="C8" s="7" t="n">
        <v>45000</v>
      </c>
      <c r="D8" s="8" t="n">
        <f aca="false">C8/$C$5</f>
        <v>0.00181818181818182</v>
      </c>
    </row>
    <row r="9" customFormat="false" ht="15" hidden="false" customHeight="true" outlineLevel="0" collapsed="false">
      <c r="A9" s="5" t="s">
        <v>14</v>
      </c>
      <c r="B9" s="6" t="s">
        <v>15</v>
      </c>
      <c r="C9" s="11" t="n">
        <f aca="false">$C$5*0.0075</f>
        <v>185625</v>
      </c>
      <c r="D9" s="8" t="n">
        <f aca="false">C9/$C$5</f>
        <v>0.0075</v>
      </c>
    </row>
    <row r="10" customFormat="false" ht="15" hidden="false" customHeight="true" outlineLevel="0" collapsed="false">
      <c r="A10" s="5" t="s">
        <v>16</v>
      </c>
      <c r="B10" s="6" t="s">
        <v>17</v>
      </c>
      <c r="C10" s="7" t="n">
        <v>38000</v>
      </c>
      <c r="D10" s="8" t="n">
        <f aca="false">C10/$C$5</f>
        <v>0.00153535353535354</v>
      </c>
    </row>
    <row r="11" customFormat="false" ht="15" hidden="false" customHeight="true" outlineLevel="0" collapsed="false">
      <c r="A11" s="5" t="s">
        <v>18</v>
      </c>
      <c r="B11" s="6" t="s">
        <v>19</v>
      </c>
      <c r="C11" s="7" t="n">
        <v>1800</v>
      </c>
      <c r="D11" s="8" t="n">
        <f aca="false">C11/$C$5</f>
        <v>7.27272727272727E-005</v>
      </c>
    </row>
    <row r="12" customFormat="false" ht="15" hidden="false" customHeight="true" outlineLevel="0" collapsed="false">
      <c r="A12" s="5" t="s">
        <v>20</v>
      </c>
      <c r="B12" s="6" t="s">
        <v>21</v>
      </c>
      <c r="C12" s="7" t="n">
        <v>12500</v>
      </c>
      <c r="D12" s="8" t="n">
        <f aca="false">C12/$C$5</f>
        <v>0.000505050505050505</v>
      </c>
    </row>
    <row r="13" customFormat="false" ht="15" hidden="false" customHeight="true" outlineLevel="0" collapsed="false">
      <c r="A13" s="12" t="s">
        <v>22</v>
      </c>
      <c r="B13" s="12"/>
      <c r="C13" s="13" t="n">
        <f aca="false">SUM(C5:C12)</f>
        <v>26260835</v>
      </c>
      <c r="D13" s="14" t="n">
        <f aca="false">C13/$C$5</f>
        <v>1.06104383838384</v>
      </c>
    </row>
    <row r="15" customFormat="false" ht="15" hidden="false" customHeight="true" outlineLevel="0" collapsed="false">
      <c r="A15" s="15" t="s">
        <v>23</v>
      </c>
    </row>
    <row r="16" customFormat="false" ht="15" hidden="false" customHeight="true" outlineLevel="0" collapsed="false">
      <c r="A16" s="16" t="s">
        <v>24</v>
      </c>
      <c r="B16" s="17" t="n">
        <v>1608750</v>
      </c>
    </row>
    <row r="17" customFormat="false" ht="15" hidden="false" customHeight="true" outlineLevel="0" collapsed="false">
      <c r="A17" s="16" t="s">
        <v>25</v>
      </c>
      <c r="B17" s="18" t="n">
        <f aca="false">B16*(1-B18)</f>
        <v>1568531.25</v>
      </c>
    </row>
    <row r="18" customFormat="false" ht="15" hidden="false" customHeight="true" outlineLevel="0" collapsed="false">
      <c r="A18" s="16" t="s">
        <v>26</v>
      </c>
      <c r="B18" s="19" t="n">
        <v>0.025</v>
      </c>
    </row>
    <row r="19" customFormat="false" ht="15" hidden="false" customHeight="true" outlineLevel="0" collapsed="false">
      <c r="A19" s="16" t="s">
        <v>27</v>
      </c>
      <c r="B19" s="20" t="n">
        <f aca="false">B16/$C$5</f>
        <v>0.065</v>
      </c>
    </row>
    <row r="20" customFormat="false" ht="15" hidden="false" customHeight="true" outlineLevel="0" collapsed="false">
      <c r="A20" s="16" t="s">
        <v>28</v>
      </c>
      <c r="B20" s="20" t="n">
        <f aca="false">B17/C13</f>
        <v>0.0597289176067707</v>
      </c>
    </row>
    <row r="21" customFormat="false" ht="15" hidden="false" customHeight="true" outlineLevel="0" collapsed="false">
      <c r="A21" s="16" t="s">
        <v>29</v>
      </c>
      <c r="B21" s="17" t="n">
        <v>1742000</v>
      </c>
    </row>
    <row r="22" customFormat="false" ht="15" hidden="false" customHeight="true" outlineLevel="0" collapsed="false">
      <c r="A22" s="16" t="s">
        <v>30</v>
      </c>
      <c r="B22" s="20" t="n">
        <f aca="false">B21/$C$5</f>
        <v>0.0703838383838384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6" min="5" style="1" width="16"/>
  </cols>
  <sheetData>
    <row r="1" customFormat="false" ht="15" hidden="false" customHeight="true" outlineLevel="0" collapsed="false">
      <c r="A1" s="15" t="s">
        <v>31</v>
      </c>
    </row>
    <row r="3" customFormat="false" ht="15" hidden="false" customHeight="true" outlineLevel="0" collapsed="false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</row>
    <row r="4" customFormat="false" ht="15" hidden="false" customHeight="true" outlineLevel="0" collapsed="false">
      <c r="A4" s="5" t="s">
        <v>38</v>
      </c>
      <c r="B4" s="21" t="n">
        <v>0</v>
      </c>
      <c r="C4" s="21" t="n">
        <v>150000</v>
      </c>
      <c r="D4" s="22" t="n">
        <v>0</v>
      </c>
      <c r="E4" s="23" t="n">
        <f aca="false">C4-B4</f>
        <v>150000</v>
      </c>
      <c r="F4" s="23" t="n">
        <f aca="false">E4*D4</f>
        <v>0</v>
      </c>
    </row>
    <row r="5" customFormat="false" ht="15" hidden="false" customHeight="true" outlineLevel="0" collapsed="false">
      <c r="A5" s="5" t="s">
        <v>39</v>
      </c>
      <c r="B5" s="21" t="n">
        <v>150000</v>
      </c>
      <c r="C5" s="21" t="n">
        <v>250000</v>
      </c>
      <c r="D5" s="22" t="n">
        <v>0.02</v>
      </c>
      <c r="E5" s="23" t="n">
        <f aca="false">C5-B5</f>
        <v>100000</v>
      </c>
      <c r="F5" s="23" t="n">
        <f aca="false">E5*D5</f>
        <v>2000</v>
      </c>
    </row>
    <row r="6" customFormat="false" ht="15" hidden="false" customHeight="true" outlineLevel="0" collapsed="false">
      <c r="A6" s="5" t="s">
        <v>40</v>
      </c>
      <c r="B6" s="21" t="n">
        <v>250000</v>
      </c>
      <c r="C6" s="21" t="n">
        <v>24750000</v>
      </c>
      <c r="D6" s="22" t="n">
        <v>0.05</v>
      </c>
      <c r="E6" s="23" t="n">
        <f aca="false">C6-B6</f>
        <v>24500000</v>
      </c>
      <c r="F6" s="23" t="n">
        <f aca="false">E6*D6</f>
        <v>1225000</v>
      </c>
    </row>
    <row r="7" customFormat="false" ht="15" hidden="false" customHeight="true" outlineLevel="0" collapsed="false">
      <c r="A7" s="12" t="s">
        <v>41</v>
      </c>
      <c r="B7" s="12"/>
      <c r="C7" s="12"/>
      <c r="D7" s="12"/>
      <c r="E7" s="12"/>
      <c r="F7" s="13" t="n">
        <f aca="false">SUM(F4:F6)</f>
        <v>1227000</v>
      </c>
    </row>
    <row r="12" customFormat="false" ht="15" hidden="false" customHeight="true" outlineLevel="0" collapsed="false">
      <c r="B12" s="24" t="n">
        <f aca="false">F7</f>
        <v>1227000</v>
      </c>
    </row>
    <row r="14" customFormat="false" ht="15" hidden="false" customHeight="true" outlineLevel="0" collapsed="false">
      <c r="A14" s="25" t="s">
        <v>42</v>
      </c>
    </row>
    <row r="15" customFormat="false" ht="15" hidden="false" customHeight="true" outlineLevel="0" collapsed="false">
      <c r="A15" s="16" t="s">
        <v>43</v>
      </c>
      <c r="B15" s="26" t="n">
        <f aca="false">F7/24750000</f>
        <v>0.0495757575757576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2026-06-26T02:44:54Z</dcterms:created>
  <dc:creator>openpyxl</dc:creator>
  <dc:description/>
  <dc:language>en-US</dc:language>
  <cp:lastModifiedBy/>
  <dcterms:modified xsi:type="dcterms:W3CDTF">2026-06-26T02:45:23Z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