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<sst xmlns="http://schemas.openxmlformats.org/spreadsheetml/2006/main" count="29" uniqueCount="29">
  <si>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Project Quartz — Completion Funds Flow Statement</t>
  </si>
  <si>
    <t xml:space="preserve">Acquisition of Holbeck Spa &amp; Wellness Group Limited  |  Completion 6 March 2026  |  All amounts £ sterling</t>
  </si>
  <si>
    <t xml:space="preserve">SOURCES OF FUNDS</t>
  </si>
  <si>
    <t xml:space="preserve">Notes</t>
  </si>
  <si>
    <t xml:space="preserve">Equity contribution — Kingsford Group Limited</t>
  </si>
  <si>
    <t xml:space="preserve">Internal cash (balancing)</t>
  </si>
  <si>
    <t xml:space="preserve">Acquisition facility — Clydesford Bank plc</t>
  </si>
  <si>
    <t xml:space="preserve">Term loan, 5yr</t>
  </si>
  <si>
    <t xml:space="preserve">Total sources</t>
  </si>
  <si>
    <t xml:space="preserve">USES OF FUNDS</t>
  </si>
  <si>
    <t xml:space="preserve">Payee / Notes</t>
  </si>
  <si>
    <t xml:space="preserve">Cash consideration to Sellers</t>
  </si>
  <si>
    <t xml:space="preserve">Crayford Bellamy LLP client account</t>
  </si>
  <si>
    <t xml:space="preserve">Escrow Amount (18-month retention)</t>
  </si>
  <si>
    <t xml:space="preserve">Joint escrow account WC/CB</t>
  </si>
  <si>
    <t xml:space="preserve">Repayment of Holbeck bank debt at completion</t>
  </si>
  <si>
    <t xml:space="preserve">Net Debt — Clydesford Bank plc</t>
  </si>
  <si>
    <t xml:space="preserve">SDRT on share transfers (0.5%)</t>
  </si>
  <si>
    <t xml:space="preserve">HMRC — 0.5% × £35,300,000</t>
  </si>
  <si>
    <t xml:space="preserve">Buyer legal fees</t>
  </si>
  <si>
    <t xml:space="preserve">Whitfield Carter LLP</t>
  </si>
  <si>
    <t xml:space="preserve">Financial &amp; tax due diligence</t>
  </si>
  <si>
    <t xml:space="preserve">Marlow Tax &amp; Advisory Ltd</t>
  </si>
  <si>
    <t xml:space="preserve">Facility arrangement fee</t>
  </si>
  <si>
    <t xml:space="preserve">Clydesford Bank plc — 1.0%</t>
  </si>
  <si>
    <t xml:space="preserve">Sellers' costs contribution (per HoT)</t>
  </si>
  <si>
    <t xml:space="preserve">Crayford Bellamy LLP</t>
  </si>
  <si>
    <t xml:space="preserve">Total uses</t>
  </si>
  <si>
    <t xml:space="preserve">Surplus / (shortfall): sources less uses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</si>
</sst>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EFEFEF"/>
      </patternFill>
    </fill>
    <fill>
      <patternFill patternType="solid">
        <fgColor rgb="FFEFEF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3" t="s">
        <v>3</v>
      </c>
    </row>
    <row r="5" customFormat="false" ht="15" hidden="false" customHeight="false" outlineLevel="0" collapsed="false">
      <c r="A5" s="5" t="s">
        <v>4</v>
      </c>
      <c r="B5" s="6" t="n">
        <f aca="false">B18-B6</f>
        <v>22524500</v>
      </c>
      <c r="C5" s="5" t="s">
        <v>5</v>
      </c>
    </row>
    <row r="6" customFormat="false" ht="15" hidden="false" customHeight="false" outlineLevel="0" collapsed="false">
      <c r="A6" s="5" t="s">
        <v>6</v>
      </c>
      <c r="B6" s="6" t="n">
        <v>15000000</v>
      </c>
      <c r="C6" s="5" t="s">
        <v>7</v>
      </c>
    </row>
    <row r="7" customFormat="false" ht="15" hidden="false" customHeight="false" outlineLevel="0" collapsed="false">
      <c r="A7" s="7" t="s">
        <v>8</v>
      </c>
      <c r="B7" s="8" t="n">
        <f aca="false">SUM(B5:B6)</f>
        <v>37524500</v>
      </c>
      <c r="C7" s="7"/>
    </row>
    <row r="9" customFormat="false" ht="15" hidden="false" customHeight="false" outlineLevel="0" collapsed="false">
      <c r="A9" s="3" t="s">
        <v>9</v>
      </c>
      <c r="B9" s="4"/>
      <c r="C9" s="3" t="s">
        <v>10</v>
      </c>
    </row>
    <row r="10" customFormat="false" ht="15" hidden="false" customHeight="false" outlineLevel="0" collapsed="false">
      <c r="A10" s="5" t="s">
        <v>11</v>
      </c>
      <c r="B10" s="6" t="n">
        <v>31800000</v>
      </c>
      <c r="C10" s="5" t="s">
        <v>12</v>
      </c>
    </row>
    <row r="11" customFormat="false" ht="15" hidden="false" customHeight="false" outlineLevel="0" collapsed="false">
      <c r="A11" s="5" t="s">
        <v>13</v>
      </c>
      <c r="B11" s="6" t="n">
        <v>1750000</v>
      </c>
      <c r="C11" s="5" t="s">
        <v>14</v>
      </c>
    </row>
    <row r="12" customFormat="false" ht="15" hidden="false" customHeight="false" outlineLevel="0" collapsed="false">
      <c r="A12" s="5" t="s">
        <v>15</v>
      </c>
      <c r="B12" s="6" t="n">
        <v>3200000</v>
      </c>
      <c r="C12" s="5" t="s">
        <v>16</v>
      </c>
    </row>
    <row r="13" customFormat="false" ht="15" hidden="false" customHeight="false" outlineLevel="0" collapsed="false">
      <c r="A13" s="5" t="s">
        <v>17</v>
      </c>
      <c r="B13" s="6" t="n">
        <f aca="false">0.005*35300000</f>
        <v>176500</v>
      </c>
      <c r="C13" s="5" t="s">
        <v>18</v>
      </c>
    </row>
    <row r="14" customFormat="false" ht="15" hidden="false" customHeight="false" outlineLevel="0" collapsed="false">
      <c r="A14" s="5" t="s">
        <v>19</v>
      </c>
      <c r="B14" s="6" t="n">
        <v>245000</v>
      </c>
      <c r="C14" s="5" t="s">
        <v>20</v>
      </c>
    </row>
    <row r="15" customFormat="false" ht="15" hidden="false" customHeight="false" outlineLevel="0" collapsed="false">
      <c r="A15" s="5" t="s">
        <v>21</v>
      </c>
      <c r="B15" s="6" t="n">
        <v>168000</v>
      </c>
      <c r="C15" s="5" t="s">
        <v>22</v>
      </c>
    </row>
    <row r="16" customFormat="false" ht="15" hidden="false" customHeight="false" outlineLevel="0" collapsed="false">
      <c r="A16" s="5" t="s">
        <v>23</v>
      </c>
      <c r="B16" s="6" t="n">
        <v>150000</v>
      </c>
      <c r="C16" s="5" t="s">
        <v>24</v>
      </c>
    </row>
    <row r="17" customFormat="false" ht="15" hidden="false" customHeight="false" outlineLevel="0" collapsed="false">
      <c r="A17" s="5" t="s">
        <v>25</v>
      </c>
      <c r="B17" s="6" t="n">
        <v>35000</v>
      </c>
      <c r="C17" s="5" t="s">
        <v>26</v>
      </c>
    </row>
    <row r="18" customFormat="false" ht="15" hidden="false" customHeight="false" outlineLevel="0" collapsed="false">
      <c r="A18" s="7" t="s">
        <v>27</v>
      </c>
      <c r="B18" s="8" t="n">
        <f aca="false">SUM(B10:B17)</f>
        <v>37524500</v>
      </c>
      <c r="C18" s="7"/>
    </row>
    <row r="19" customFormat="false" ht="15" hidden="false" customHeight="false" outlineLevel="0" collapsed="false">
      <c r="A19" s="9" t="s">
        <v>28</v>
      </c>
      <c r="B19" s="10" t="n">
        <f aca="false">B7-B18</f>
        <v>0</v>
      </c>
      <c r="C19" s="9" t="str">
        <f aca="false">IF(ROUND(B19,2)=0,"BALANCED","CHECK")</f>
        <v>BALANCED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2026-06-25T23:46:02Z</dcterms:created>
  <dc:creator>openpyxl</dc:creator>
  <dc:description/>
  <dc:language>en-US</dc:language>
  <cp:lastModifiedBy/>
  <dcterms:modified xsi:type="dcterms:W3CDTF">2026-06-25T23:46:02Z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