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 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<sst xmlns="http://schemas.openxmlformats.org/spreadsheetml/2006/main" count="32" uniqueCount="32">
  <si>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Holbeck Spa &amp; Wellness Group Limited — Capitalisation Table</t>
  </si>
  <si>
    <t xml:space="preserve">Project Quartz (WC-00132)  |  Pre- and post-completion ownership  |  Completion 6 March 2026</t>
  </si>
  <si>
    <t xml:space="preserve">Shareholder</t>
  </si>
  <si>
    <t xml:space="preserve">Shares (pre)</t>
  </si>
  <si>
    <t xml:space="preserve">% (pre)</t>
  </si>
  <si>
    <t xml:space="preserve">Consideration (£)</t>
  </si>
  <si>
    <t xml:space="preserve">Shares (post)</t>
  </si>
  <si>
    <t xml:space="preserve">% (post)</t>
  </si>
  <si>
    <t xml:space="preserve">Daniel Holbeck</t>
  </si>
  <si>
    <t xml:space="preserve">Margaret Holbeck</t>
  </si>
  <si>
    <t xml:space="preserve">The Holbeck Family Trust</t>
  </si>
  <si>
    <t xml:space="preserve">Aldington Growth Partners LLP</t>
  </si>
  <si>
    <t xml:space="preserve">Total (Sellers)</t>
  </si>
  <si>
    <t xml:space="preserve">Kingsford Wellness Bidco Limited (Buyer)</t>
  </si>
  <si>
    <t xml:space="preserve">Total (post-completion)</t>
  </si>
  <si>
    <t xml:space="preserve">Equity consideration build-up</t>
  </si>
  <si>
    <t xml:space="preserve">Enterprise value</t>
  </si>
  <si>
    <t xml:space="preserve">Agreed HoT, 8 Dec 2025</t>
  </si>
  <si>
    <t xml:space="preserve">less: estimated Net Debt at completion</t>
  </si>
  <si>
    <t xml:space="preserve">Schedule 7 estimate</t>
  </si>
  <si>
    <t xml:space="preserve">Equity value (consideration)</t>
  </si>
  <si>
    <t xml:space="preserve">EV less Net Debt</t>
  </si>
  <si>
    <t xml:space="preserve">  of which: cash at completion</t>
  </si>
  <si>
    <t xml:space="preserve">clause 6.3</t>
  </si>
  <si>
    <t xml:space="preserve">  of which: escrow (18 months)</t>
  </si>
  <si>
    <t xml:space="preserve">clause 7</t>
  </si>
  <si>
    <t xml:space="preserve">  of which: deferred (FY27 EBITDA)</t>
  </si>
  <si>
    <t xml:space="preserve">clause 8 / Schedule 8</t>
  </si>
  <si>
    <t xml:space="preserve">Price per share (£)</t>
  </si>
  <si>
    <t xml:space="preserve">equity / total shares</t>
  </si>
  <si>
    <t xml:space="preserve">Check: cash+escrow+deferred = equity</t>
  </si>
  <si>
    <t xml:space="preserve">reconciliation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</si>
</sst>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\£#,##0;&quot;(£&quot;#,##0\);\-"/>
    <numFmt numFmtId="168" formatCode="\£#,##0.00"/>
    <numFmt numFmtId="169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77777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FEF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EFEF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525000</v>
      </c>
      <c r="C5" s="6" t="n">
        <f aca="false">B5/$B$9</f>
        <v>0.525</v>
      </c>
      <c r="D5" s="7" t="n">
        <f aca="false">B5/$B$9*$D$9</f>
        <v>18532500</v>
      </c>
      <c r="E5" s="5" t="n">
        <v>0</v>
      </c>
      <c r="F5" s="6" t="n">
        <v>0</v>
      </c>
    </row>
    <row r="6" customFormat="false" ht="15" hidden="false" customHeight="false" outlineLevel="0" collapsed="false">
      <c r="A6" s="4" t="s">
        <v>9</v>
      </c>
      <c r="B6" s="5" t="n">
        <v>175000</v>
      </c>
      <c r="C6" s="6" t="n">
        <f aca="false">B6/$B$9</f>
        <v>0.175</v>
      </c>
      <c r="D6" s="7" t="n">
        <f aca="false">B6/$B$9*$D$9</f>
        <v>6177500</v>
      </c>
      <c r="E6" s="5" t="n">
        <v>0</v>
      </c>
      <c r="F6" s="6" t="n">
        <v>0</v>
      </c>
    </row>
    <row r="7" customFormat="false" ht="15" hidden="false" customHeight="false" outlineLevel="0" collapsed="false">
      <c r="A7" s="4" t="s">
        <v>10</v>
      </c>
      <c r="B7" s="5" t="n">
        <v>100000</v>
      </c>
      <c r="C7" s="6" t="n">
        <f aca="false">B7/$B$9</f>
        <v>0.1</v>
      </c>
      <c r="D7" s="7" t="n">
        <f aca="false">B7/$B$9*$D$9</f>
        <v>3530000</v>
      </c>
      <c r="E7" s="5" t="n">
        <v>0</v>
      </c>
      <c r="F7" s="6" t="n">
        <v>0</v>
      </c>
    </row>
    <row r="8" customFormat="false" ht="15" hidden="false" customHeight="false" outlineLevel="0" collapsed="false">
      <c r="A8" s="4" t="s">
        <v>11</v>
      </c>
      <c r="B8" s="5" t="n">
        <v>200000</v>
      </c>
      <c r="C8" s="6" t="n">
        <f aca="false">B8/$B$9</f>
        <v>0.2</v>
      </c>
      <c r="D8" s="7" t="n">
        <f aca="false">B8/$B$9*$D$9</f>
        <v>7060000</v>
      </c>
      <c r="E8" s="5" t="n">
        <v>0</v>
      </c>
      <c r="F8" s="6" t="n">
        <v>0</v>
      </c>
    </row>
    <row r="9" customFormat="false" ht="15" hidden="false" customHeight="false" outlineLevel="0" collapsed="false">
      <c r="A9" s="8" t="s">
        <v>12</v>
      </c>
      <c r="B9" s="9" t="n">
        <f aca="false">SUM(B5:B8)</f>
        <v>1000000</v>
      </c>
      <c r="C9" s="10" t="n">
        <f aca="false">SUM(C5:C8)</f>
        <v>1</v>
      </c>
      <c r="D9" s="11" t="n">
        <v>35300000</v>
      </c>
      <c r="E9" s="9" t="n">
        <f aca="false">SUM(E5:E8)</f>
        <v>0</v>
      </c>
      <c r="F9" s="10" t="n">
        <f aca="false">SUM(C5:C8)*0</f>
        <v>0</v>
      </c>
    </row>
    <row r="10" customFormat="false" ht="15" hidden="false" customHeight="false" outlineLevel="0" collapsed="false">
      <c r="A10" s="4" t="s">
        <v>13</v>
      </c>
      <c r="B10" s="5" t="n">
        <v>0</v>
      </c>
      <c r="C10" s="6" t="n">
        <v>0</v>
      </c>
      <c r="D10" s="7" t="n">
        <v>0</v>
      </c>
      <c r="E10" s="5" t="n">
        <f aca="false">B9</f>
        <v>1000000</v>
      </c>
      <c r="F10" s="6" t="n">
        <f aca="false">E10/E10</f>
        <v>1</v>
      </c>
    </row>
    <row r="11" customFormat="false" ht="15" hidden="false" customHeight="false" outlineLevel="0" collapsed="false">
      <c r="A11" s="8" t="s">
        <v>14</v>
      </c>
      <c r="B11" s="8"/>
      <c r="C11" s="8"/>
      <c r="D11" s="11" t="n">
        <f aca="false">D9</f>
        <v>35300000</v>
      </c>
      <c r="E11" s="9" t="n">
        <f aca="false">E10</f>
        <v>1000000</v>
      </c>
      <c r="F11" s="10" t="n">
        <f aca="false">E11/E10</f>
        <v>1</v>
      </c>
    </row>
    <row r="14" customFormat="false" ht="15" hidden="false" customHeight="false" outlineLevel="0" collapsed="false">
      <c r="A14" s="12" t="s">
        <v>15</v>
      </c>
    </row>
    <row r="15" customFormat="false" ht="15" hidden="false" customHeight="false" outlineLevel="0" collapsed="false">
      <c r="A15" s="13" t="s">
        <v>16</v>
      </c>
      <c r="B15" s="14" t="n">
        <v>38500000</v>
      </c>
      <c r="C15" s="15" t="s">
        <v>17</v>
      </c>
    </row>
    <row r="16" customFormat="false" ht="15" hidden="false" customHeight="false" outlineLevel="0" collapsed="false">
      <c r="A16" s="13" t="s">
        <v>18</v>
      </c>
      <c r="B16" s="14" t="n">
        <v>-3200000</v>
      </c>
      <c r="C16" s="15" t="s">
        <v>19</v>
      </c>
    </row>
    <row r="17" customFormat="false" ht="15" hidden="false" customHeight="false" outlineLevel="0" collapsed="false">
      <c r="A17" s="12" t="s">
        <v>20</v>
      </c>
      <c r="B17" s="16" t="n">
        <f aca="false">B15+B16</f>
        <v>35300000</v>
      </c>
      <c r="C17" s="15" t="s">
        <v>21</v>
      </c>
    </row>
    <row r="18" customFormat="false" ht="15" hidden="false" customHeight="false" outlineLevel="0" collapsed="false">
      <c r="A18" s="13" t="s">
        <v>22</v>
      </c>
      <c r="B18" s="14" t="n">
        <v>31800000</v>
      </c>
      <c r="C18" s="15" t="s">
        <v>23</v>
      </c>
    </row>
    <row r="19" customFormat="false" ht="15" hidden="false" customHeight="false" outlineLevel="0" collapsed="false">
      <c r="A19" s="13" t="s">
        <v>24</v>
      </c>
      <c r="B19" s="14" t="n">
        <v>1750000</v>
      </c>
      <c r="C19" s="15" t="s">
        <v>25</v>
      </c>
    </row>
    <row r="20" customFormat="false" ht="15" hidden="false" customHeight="false" outlineLevel="0" collapsed="false">
      <c r="A20" s="13" t="s">
        <v>26</v>
      </c>
      <c r="B20" s="14" t="n">
        <v>1750000</v>
      </c>
      <c r="C20" s="15" t="s">
        <v>27</v>
      </c>
    </row>
    <row r="21" customFormat="false" ht="15" hidden="false" customHeight="false" outlineLevel="0" collapsed="false">
      <c r="A21" s="13" t="s">
        <v>28</v>
      </c>
      <c r="B21" s="17" t="n">
        <f aca="false">B17/B9</f>
        <v>35.3</v>
      </c>
      <c r="C21" s="15" t="s">
        <v>29</v>
      </c>
    </row>
    <row r="22" customFormat="false" ht="15" hidden="false" customHeight="false" outlineLevel="0" collapsed="false">
      <c r="A22" s="13" t="s">
        <v>30</v>
      </c>
      <c r="B22" s="18" t="str">
        <f aca="false">IF(ROUND(B18+B19+B20-B17,2)=0,"OK","ERROR")</f>
        <v>OK</v>
      </c>
      <c r="C22" s="1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2026-06-25T23:46:02Z</dcterms:created>
  <dc:creator>openpyxl</dc:creator>
  <dc:description/>
  <dc:language>en-US</dc:language>
  <cp:lastModifiedBy/>
  <dcterms:modified xsi:type="dcterms:W3CDTF">2026-06-25T23:46:02Z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