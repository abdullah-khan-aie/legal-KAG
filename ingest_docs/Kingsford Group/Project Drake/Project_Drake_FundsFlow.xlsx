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deration" sheetId="1" state="visible" r:id="rId1"/>
    <sheet xmlns:r="http://schemas.openxmlformats.org/officeDocument/2006/relationships" name="Funds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6" fillId="3" borderId="1" pivotButton="0" quotePrefix="0" xfId="0"/>
    <xf numFmtId="165" fontId="6" fillId="3" borderId="1" pivotButton="0" quotePrefix="0" xfId="0"/>
    <xf numFmtId="164" fontId="5" fillId="3" borderId="1" pivotButton="0" quotePrefix="0" xfId="0"/>
    <xf numFmtId="165" fontId="0" fillId="0" borderId="0" pivotButton="0" quotePrefix="0" xfId="0"/>
    <xf numFmtId="0" fontId="6" fillId="0" borderId="0" pivotButton="0" quotePrefix="0" xfId="0"/>
    <xf numFmtId="0" fontId="6" fillId="0" borderId="1" pivotButton="0" quotePrefix="0" xfId="0"/>
    <xf numFmtId="164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164" fontId="4" fillId="4" borderId="0" pivotButton="0" quotePrefix="0" xfId="0"/>
    <xf numFmtId="164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164" fontId="6" fillId="3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22" customWidth="1" min="4" max="4"/>
    <col width="16" customWidth="1" min="5" max="5"/>
  </cols>
  <sheetData>
    <row r="1">
      <c r="A1" s="1" t="inlineStr">
        <is>
          <t>Tidewell Marina Holdings Limited — Consideration Allocation</t>
        </is>
      </c>
    </row>
    <row r="2">
      <c r="A2" s="2" t="inlineStr">
        <is>
          <t>Project Drake  |  Prepared by Whitfield Carter LLP  |  Execution version 15 December 2025</t>
        </is>
      </c>
    </row>
    <row r="3">
      <c r="A3" s="2" t="inlineStr">
        <is>
          <t>100% of the issued share capital (1,000,000 ordinary shares of £0.01 each) acquired by Kingsford Group Limited.</t>
        </is>
      </c>
    </row>
    <row r="5">
      <c r="A5" s="3" t="inlineStr">
        <is>
          <t>Shareholder</t>
        </is>
      </c>
      <c r="B5" s="3" t="inlineStr">
        <is>
          <t>Shares Held</t>
        </is>
      </c>
      <c r="C5" s="3" t="inlineStr">
        <is>
          <t>% of Issued</t>
        </is>
      </c>
      <c r="D5" s="3" t="inlineStr">
        <is>
          <t>Equity Consideration (£)</t>
        </is>
      </c>
      <c r="E5" s="3" t="inlineStr">
        <is>
          <t>% of Equity Cons.</t>
        </is>
      </c>
    </row>
    <row r="6">
      <c r="A6" s="4" t="inlineStr">
        <is>
          <t>Gregory Tidewell</t>
        </is>
      </c>
      <c r="B6" s="5" t="n">
        <v>700000</v>
      </c>
      <c r="C6" s="6">
        <f>B6/$B$8</f>
        <v/>
      </c>
      <c r="D6" s="7">
        <f>ROUND(C6*$D$8,0)</f>
        <v/>
      </c>
      <c r="E6" s="6">
        <f>D6/$D$8</f>
        <v/>
      </c>
    </row>
    <row r="7">
      <c r="A7" s="4" t="inlineStr">
        <is>
          <t>Eleanor Tidewell</t>
        </is>
      </c>
      <c r="B7" s="5" t="n">
        <v>300000</v>
      </c>
      <c r="C7" s="6">
        <f>B7/$B$8</f>
        <v/>
      </c>
      <c r="D7" s="7">
        <f>ROUND(C7*$D$8,0)</f>
        <v/>
      </c>
      <c r="E7" s="6">
        <f>D7/$D$8</f>
        <v/>
      </c>
    </row>
    <row r="8">
      <c r="A8" s="8" t="inlineStr">
        <is>
          <t>Total</t>
        </is>
      </c>
      <c r="B8" s="8">
        <f>SUM(B6:B7)</f>
        <v/>
      </c>
      <c r="C8" s="9">
        <f>B8/B8</f>
        <v/>
      </c>
      <c r="D8" s="10" t="n">
        <v>22400000</v>
      </c>
      <c r="E8" s="9">
        <f>D8/D8</f>
        <v/>
      </c>
    </row>
    <row r="9">
      <c r="C9" s="11" t="n"/>
      <c r="E9" s="11" t="n"/>
    </row>
    <row r="10">
      <c r="C10" s="11" t="n"/>
      <c r="E10" s="11" t="n"/>
    </row>
    <row r="11">
      <c r="A11" s="12" t="inlineStr">
        <is>
          <t>Consideration build-up</t>
        </is>
      </c>
      <c r="C11" s="11" t="n"/>
      <c r="E11" s="11" t="n"/>
    </row>
    <row r="12">
      <c r="A12" s="3" t="inlineStr">
        <is>
          <t>Component</t>
        </is>
      </c>
      <c r="B12" s="3" t="inlineStr">
        <is>
          <t>£</t>
        </is>
      </c>
      <c r="C12" s="11" t="n"/>
      <c r="E12" s="11" t="n"/>
    </row>
    <row r="13">
      <c r="A13" s="4" t="inlineStr">
        <is>
          <t>Enterprise value</t>
        </is>
      </c>
      <c r="B13" s="5" t="n">
        <v>24500000</v>
      </c>
      <c r="C13" s="11" t="n"/>
      <c r="E13" s="11" t="n"/>
    </row>
    <row r="14">
      <c r="A14" s="4" t="inlineStr">
        <is>
          <t>Less: estimated net debt</t>
        </is>
      </c>
      <c r="B14" s="5" t="n">
        <v>-2100000</v>
      </c>
      <c r="C14" s="11" t="n"/>
      <c r="E14" s="11" t="n"/>
    </row>
    <row r="15">
      <c r="A15" s="13" t="inlineStr">
        <is>
          <t>Equity consideration</t>
        </is>
      </c>
      <c r="B15" s="14">
        <f>B13+B14</f>
        <v/>
      </c>
      <c r="C15" s="11" t="n"/>
      <c r="E15" s="11" t="n"/>
    </row>
    <row r="16">
      <c r="A16" s="4" t="inlineStr">
        <is>
          <t xml:space="preserve">  of which: cash at completion</t>
        </is>
      </c>
      <c r="B16" s="5" t="n">
        <v>19900000</v>
      </c>
      <c r="C16" s="11" t="n"/>
      <c r="E16" s="11" t="n"/>
    </row>
    <row r="17">
      <c r="A17" s="4" t="inlineStr">
        <is>
          <t xml:space="preserve">  of which: escrow (18 months)</t>
        </is>
      </c>
      <c r="B17" s="5" t="n">
        <v>1500000</v>
      </c>
      <c r="C17" s="11" t="n"/>
      <c r="E17" s="11" t="n"/>
    </row>
    <row r="18">
      <c r="A18" s="4" t="inlineStr">
        <is>
          <t>Deferred consideration / earn-out (max)</t>
        </is>
      </c>
      <c r="B18" s="5" t="n">
        <v>1000000</v>
      </c>
      <c r="C18" s="11" t="n"/>
      <c r="E18" s="11" t="n"/>
    </row>
    <row r="19">
      <c r="A19" s="13" t="inlineStr">
        <is>
          <t>Maximum total consideration</t>
        </is>
      </c>
      <c r="B19" s="15">
        <f>B15+B18</f>
        <v/>
      </c>
      <c r="C19" s="11" t="n"/>
      <c r="E19" s="11" t="n"/>
    </row>
    <row r="20">
      <c r="B20" s="16" t="n"/>
      <c r="C20" s="11" t="n"/>
      <c r="E20" s="11" t="n"/>
    </row>
    <row r="21">
      <c r="A21" s="12" t="inlineStr">
        <is>
          <t>W&amp;I aggregate cap (27.5% of equity consideration)</t>
        </is>
      </c>
      <c r="B21" s="17">
        <f>ROUND(0.275*D8,0)</f>
        <v/>
      </c>
      <c r="C21" s="11" t="n"/>
      <c r="E21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8" customWidth="1" min="3" max="3"/>
  </cols>
  <sheetData>
    <row r="1">
      <c r="A1" s="1" t="inlineStr">
        <is>
          <t>Project Drake — Completion Funds Flow Statement</t>
        </is>
      </c>
      <c r="B1" s="16" t="n"/>
    </row>
    <row r="2">
      <c r="A2" s="2" t="inlineStr">
        <is>
          <t>Completion: 15 December 2025  |  All payments by CHAPS on completion</t>
        </is>
      </c>
      <c r="B2" s="16" t="n"/>
    </row>
    <row r="3">
      <c r="B3" s="16" t="n"/>
    </row>
    <row r="4">
      <c r="A4" s="12" t="inlineStr">
        <is>
          <t>SOURCES OF FUNDS (Buyer)</t>
        </is>
      </c>
      <c r="B4" s="16" t="n"/>
    </row>
    <row r="5">
      <c r="A5" s="3" t="inlineStr">
        <is>
          <t>Source</t>
        </is>
      </c>
      <c r="B5" s="18" t="inlineStr">
        <is>
          <t>£</t>
        </is>
      </c>
    </row>
    <row r="6">
      <c r="A6" s="4" t="inlineStr">
        <is>
          <t>Kingsford Group existing cash resources</t>
        </is>
      </c>
      <c r="B6" s="5" t="n">
        <v>18000000</v>
      </c>
      <c r="C6" s="16" t="n"/>
    </row>
    <row r="7">
      <c r="A7" s="4" t="inlineStr">
        <is>
          <t>Drawdown under revolving credit facility</t>
        </is>
      </c>
      <c r="B7" s="5" t="n">
        <v>5786000</v>
      </c>
      <c r="C7" s="16" t="n"/>
    </row>
    <row r="8">
      <c r="A8" s="19" t="inlineStr">
        <is>
          <t>Total sources</t>
        </is>
      </c>
      <c r="B8" s="20">
        <f>SUM(B6:B7)</f>
        <v/>
      </c>
      <c r="C8" s="16" t="n"/>
    </row>
    <row r="9">
      <c r="C9" s="16" t="n"/>
    </row>
    <row r="10">
      <c r="A10" s="12" t="inlineStr">
        <is>
          <t>APPLICATION OF FUNDS</t>
        </is>
      </c>
      <c r="C10" s="16" t="n"/>
    </row>
    <row r="11">
      <c r="A11" s="3" t="inlineStr">
        <is>
          <t>Payee</t>
        </is>
      </c>
      <c r="B11" s="3" t="inlineStr">
        <is>
          <t>Purpose</t>
        </is>
      </c>
      <c r="C11" s="18" t="inlineStr">
        <is>
          <t>£</t>
        </is>
      </c>
    </row>
    <row r="12">
      <c r="A12" s="4" t="inlineStr">
        <is>
          <t>Birchall Stone LLP (Sellers' solicitors)</t>
        </is>
      </c>
      <c r="B12" s="4" t="inlineStr">
        <is>
          <t>Cash consideration for the Shares</t>
        </is>
      </c>
      <c r="C12" s="5" t="n">
        <v>19900000</v>
      </c>
    </row>
    <row r="13">
      <c r="A13" s="4" t="inlineStr">
        <is>
          <t>Escrow account (joint solicitors)</t>
        </is>
      </c>
      <c r="B13" s="4" t="inlineStr">
        <is>
          <t>Escrow retention (18 months)</t>
        </is>
      </c>
      <c r="C13" s="5" t="n">
        <v>1500000</v>
      </c>
    </row>
    <row r="14">
      <c r="A14" s="4" t="inlineStr">
        <is>
          <t>Clydesford Bank plc</t>
        </is>
      </c>
      <c r="B14" s="4" t="inlineStr">
        <is>
          <t>Repayment of Target net debt</t>
        </is>
      </c>
      <c r="C14" s="5" t="n">
        <v>2100000</v>
      </c>
    </row>
    <row r="15">
      <c r="A15" s="4" t="inlineStr">
        <is>
          <t>Whitfield Carter LLP</t>
        </is>
      </c>
      <c r="B15" s="4" t="inlineStr">
        <is>
          <t>Buyer's legal fees (incl. VAT)</t>
        </is>
      </c>
      <c r="C15" s="5" t="n">
        <v>174000</v>
      </c>
    </row>
    <row r="16">
      <c r="A16" s="4" t="inlineStr">
        <is>
          <t>HM Revenue &amp; Customs</t>
        </is>
      </c>
      <c r="B16" s="4" t="inlineStr">
        <is>
          <t>Stamp duty on share transfer (0.5%)</t>
        </is>
      </c>
      <c r="C16" s="5" t="n">
        <v>112000</v>
      </c>
    </row>
    <row r="17">
      <c r="A17" s="19" t="inlineStr">
        <is>
          <t>Total application</t>
        </is>
      </c>
      <c r="C17" s="20">
        <f>SUM(C12:C16)</f>
        <v/>
      </c>
    </row>
    <row r="18">
      <c r="C18" s="16" t="n"/>
    </row>
    <row r="19">
      <c r="A19" s="12" t="inlineStr">
        <is>
          <t>Check (sources less applications)</t>
        </is>
      </c>
      <c r="C19" s="21">
        <f>B8-C17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2026-06-26T16:49:31Z</dcterms:created>
  <dcterms:modified xmlns:dcterms="http://purl.org/dc/terms/" xmlns:xsi="http://www.w3.org/2001/XMLSchema-instance" xsi:type="dcterms:W3CDTF">2026-06-26T16:49:31Z</dcterms:modified>
</cp:coreProperties>
</file>