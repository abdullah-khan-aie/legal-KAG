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<sst xmlns="http://schemas.openxmlformats.org/spreadsheetml/2006/main" count="35" uniqueCount="31">
  <si>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Project Polaris — Completion Funds Flow Statement</t>
  </si>
  <si>
    <t xml:space="preserve">Acquisition of 100% of Larkfield Spa &amp; Wellness Limited by Kingsford Group Limited</t>
  </si>
  <si>
    <t xml:space="preserve">Completion: 31 October 2025  |  Prepared by Whitfield Carter LLP  |  All amounts in GBP (£)</t>
  </si>
  <si>
    <t xml:space="preserve">SOURCES OF FUNDS</t>
  </si>
  <si>
    <t xml:space="preserve">Payer</t>
  </si>
  <si>
    <t xml:space="preserve">Amount (£)</t>
  </si>
  <si>
    <t xml:space="preserve">Cash consideration from Buyer</t>
  </si>
  <si>
    <t xml:space="preserve">Kingsford Group Limited</t>
  </si>
  <si>
    <t xml:space="preserve">Retention into escrow account</t>
  </si>
  <si>
    <t xml:space="preserve">Repayment of intra-group / bank debt</t>
  </si>
  <si>
    <t xml:space="preserve">Total sources</t>
  </si>
  <si>
    <t xml:space="preserve">APPLICATION OF FUNDS</t>
  </si>
  <si>
    <t xml:space="preserve">Payee</t>
  </si>
  <si>
    <t xml:space="preserve">Cash consideration to Helena Larkfield (48.0%)</t>
  </si>
  <si>
    <t xml:space="preserve">Helena Larkfield</t>
  </si>
  <si>
    <t xml:space="preserve">Cash consideration to Marcus Larkfield (27.0%)</t>
  </si>
  <si>
    <t xml:space="preserve">Marcus Larkfield</t>
  </si>
  <si>
    <t xml:space="preserve">Cash consideration to Larkfield Family Trust (9.0%)</t>
  </si>
  <si>
    <t xml:space="preserve">Larkfield Family Trust</t>
  </si>
  <si>
    <t xml:space="preserve">Cash consideration to Camberwell Growth Capital LLP (14.0%)</t>
  </si>
  <si>
    <t xml:space="preserve">Camberwell Growth Capital LLP</t>
  </si>
  <si>
    <t xml:space="preserve">Cash consideration to Management Sellers (2.0%)</t>
  </si>
  <si>
    <t xml:space="preserve">Management Sellers</t>
  </si>
  <si>
    <t xml:space="preserve">Retention to Escrow Agent (Whitfield Carter client account)</t>
  </si>
  <si>
    <t xml:space="preserve">Escrow Account</t>
  </si>
  <si>
    <t xml:space="preserve">Repayment of Larkfield bank facility</t>
  </si>
  <si>
    <t xml:space="preserve">Pennine Business Bank plc</t>
  </si>
  <si>
    <t xml:space="preserve">Repayment of director's loan account</t>
  </si>
  <si>
    <t xml:space="preserve">Total application</t>
  </si>
  <si>
    <t xml:space="preserve">Balance check (sources − uses)</t>
  </si>
  <si>
    <t xml:space="preserve">Note: Deferred consideration of up to £2,000,000 (earn-out) is payable post-completion subject to FY2026 EBITDA targets and is not part of this completion flow.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</si>
</sst>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6" t="n">
        <v>29300000</v>
      </c>
    </row>
    <row r="7" customFormat="false" ht="15" hidden="false" customHeight="false" outlineLevel="0" collapsed="false">
      <c r="A7" s="5" t="s">
        <v>8</v>
      </c>
      <c r="B7" s="5" t="s">
        <v>7</v>
      </c>
      <c r="C7" s="6" t="n">
        <v>1500000</v>
      </c>
    </row>
    <row r="8" customFormat="false" ht="15" hidden="false" customHeight="false" outlineLevel="0" collapsed="false">
      <c r="A8" s="5" t="s">
        <v>9</v>
      </c>
      <c r="B8" s="5" t="s">
        <v>7</v>
      </c>
      <c r="C8" s="6" t="n">
        <v>3200000</v>
      </c>
    </row>
    <row r="9" customFormat="false" ht="15" hidden="false" customHeight="false" outlineLevel="0" collapsed="false">
      <c r="A9" s="7" t="s">
        <v>10</v>
      </c>
      <c r="B9" s="8"/>
      <c r="C9" s="9" t="n">
        <f aca="false">SUM(C6:C8)</f>
        <v>34000000</v>
      </c>
    </row>
    <row r="11" customFormat="false" ht="15" hidden="false" customHeight="false" outlineLevel="0" collapsed="false">
      <c r="A11" s="3" t="s">
        <v>11</v>
      </c>
      <c r="B11" s="3" t="s">
        <v>12</v>
      </c>
      <c r="C11" s="4" t="s">
        <v>5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10" t="n">
        <f aca="false">$C$6*0.48</f>
        <v>14064000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10" t="n">
        <f aca="false">$C$6*0.27</f>
        <v>7911000</v>
      </c>
    </row>
    <row r="14" customFormat="false" ht="15" hidden="false" customHeight="false" outlineLevel="0" collapsed="false">
      <c r="A14" s="5" t="s">
        <v>17</v>
      </c>
      <c r="B14" s="5" t="s">
        <v>18</v>
      </c>
      <c r="C14" s="10" t="n">
        <f aca="false">$C$6*0.09</f>
        <v>2637000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10" t="n">
        <f aca="false">$C$6*0.14</f>
        <v>4102000</v>
      </c>
    </row>
    <row r="16" customFormat="false" ht="15" hidden="false" customHeight="false" outlineLevel="0" collapsed="false">
      <c r="A16" s="5" t="s">
        <v>21</v>
      </c>
      <c r="B16" s="5" t="s">
        <v>22</v>
      </c>
      <c r="C16" s="10" t="n">
        <f aca="false">$C$6*0.02</f>
        <v>586000</v>
      </c>
    </row>
    <row r="17" customFormat="false" ht="15" hidden="false" customHeight="false" outlineLevel="0" collapsed="false">
      <c r="A17" s="5" t="s">
        <v>23</v>
      </c>
      <c r="B17" s="5" t="s">
        <v>24</v>
      </c>
      <c r="C17" s="10" t="n">
        <f aca="false">$C$7</f>
        <v>1500000</v>
      </c>
    </row>
    <row r="18" customFormat="false" ht="15" hidden="false" customHeight="false" outlineLevel="0" collapsed="false">
      <c r="A18" s="5" t="s">
        <v>25</v>
      </c>
      <c r="B18" s="5" t="s">
        <v>26</v>
      </c>
      <c r="C18" s="6" t="n">
        <v>2350000</v>
      </c>
    </row>
    <row r="19" customFormat="false" ht="15" hidden="false" customHeight="false" outlineLevel="0" collapsed="false">
      <c r="A19" s="5" t="s">
        <v>27</v>
      </c>
      <c r="B19" s="5" t="s">
        <v>14</v>
      </c>
      <c r="C19" s="6" t="n">
        <v>850000</v>
      </c>
    </row>
    <row r="20" customFormat="false" ht="15" hidden="false" customHeight="false" outlineLevel="0" collapsed="false">
      <c r="A20" s="7" t="s">
        <v>28</v>
      </c>
      <c r="B20" s="8"/>
      <c r="C20" s="9" t="n">
        <f aca="false">SUM(C12:C19)</f>
        <v>34000000</v>
      </c>
    </row>
    <row r="22" customFormat="false" ht="15" hidden="false" customHeight="false" outlineLevel="0" collapsed="false">
      <c r="A22" s="11" t="s">
        <v>29</v>
      </c>
      <c r="C22" s="12" t="n">
        <f aca="false">C9-C20</f>
        <v>0</v>
      </c>
    </row>
    <row r="24" customFormat="false" ht="15" hidden="false" customHeight="false" outlineLevel="0" collapsed="false">
      <c r="A24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2026-06-26T00:21:42Z</dcterms:created>
  <dc:creator>openpyxl</dc:creator>
  <dc:description/>
  <dc:language>en-US</dc:language>
  <cp:lastModifiedBy/>
  <dcterms:modified xsi:type="dcterms:W3CDTF">2026-06-26T00:21:42Z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