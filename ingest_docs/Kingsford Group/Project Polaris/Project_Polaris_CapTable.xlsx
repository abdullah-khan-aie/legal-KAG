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#,##0.00;(#,##0.0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0" fontId="4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164" fontId="6" fillId="3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26" customWidth="1" min="5" max="5"/>
    <col width="16" customWidth="1" min="6" max="6"/>
  </cols>
  <sheetData>
    <row r="1">
      <c r="A1" s="1" t="inlineStr">
        <is>
          <t>Larkfield Spa &amp; Wellness Limited — Capitalisation Table (Pre-Completion)</t>
        </is>
      </c>
    </row>
    <row r="2">
      <c r="A2" s="2" t="inlineStr">
        <is>
          <t>Project Polaris  |  Prepared by Whitfield Carter LLP  |  As at 30 September 2025</t>
        </is>
      </c>
    </row>
    <row r="3">
      <c r="A3" s="2" t="inlineStr">
        <is>
          <t>All shares are ordinary shares of £0.01 each. 100% of the issued share capital is being acquired by Kingsford Group Limited.</t>
        </is>
      </c>
    </row>
    <row r="5">
      <c r="A5" s="3" t="inlineStr">
        <is>
          <t>Shareholder</t>
        </is>
      </c>
      <c r="B5" s="3" t="inlineStr">
        <is>
          <t>Class</t>
        </is>
      </c>
      <c r="C5" s="3" t="inlineStr">
        <is>
          <t>Shares Held</t>
        </is>
      </c>
      <c r="D5" s="3" t="inlineStr">
        <is>
          <t>% of Issued</t>
        </is>
      </c>
      <c r="E5" s="3" t="inlineStr">
        <is>
          <t>Consideration Allocation (£)</t>
        </is>
      </c>
      <c r="F5" s="3" t="inlineStr">
        <is>
          <t>% of Consideration</t>
        </is>
      </c>
    </row>
    <row r="6">
      <c r="A6" s="4" t="inlineStr">
        <is>
          <t>Helena Larkfield (Founder)</t>
        </is>
      </c>
      <c r="B6" s="4" t="inlineStr">
        <is>
          <t>Ordinary</t>
        </is>
      </c>
      <c r="C6" s="5" t="n">
        <v>480000</v>
      </c>
      <c r="D6" s="6">
        <f>C6/$C$11</f>
        <v/>
      </c>
      <c r="E6" s="7">
        <f>$F$13*C6/$C$11</f>
        <v/>
      </c>
      <c r="F6" s="6">
        <f>E6/$E$11</f>
        <v/>
      </c>
    </row>
    <row r="7">
      <c r="A7" s="4" t="inlineStr">
        <is>
          <t>Marcus Larkfield (Founder)</t>
        </is>
      </c>
      <c r="B7" s="4" t="inlineStr">
        <is>
          <t>Ordinary</t>
        </is>
      </c>
      <c r="C7" s="5" t="n">
        <v>270000</v>
      </c>
      <c r="D7" s="6">
        <f>C7/$C$11</f>
        <v/>
      </c>
      <c r="E7" s="7">
        <f>$F$13*C7/$C$11</f>
        <v/>
      </c>
      <c r="F7" s="6">
        <f>E7/$E$11</f>
        <v/>
      </c>
    </row>
    <row r="8">
      <c r="A8" s="4" t="inlineStr">
        <is>
          <t>Larkfield Family Trust</t>
        </is>
      </c>
      <c r="B8" s="4" t="inlineStr">
        <is>
          <t>Ordinary</t>
        </is>
      </c>
      <c r="C8" s="5" t="n">
        <v>90000</v>
      </c>
      <c r="D8" s="6">
        <f>C8/$C$11</f>
        <v/>
      </c>
      <c r="E8" s="7">
        <f>$F$13*C8/$C$11</f>
        <v/>
      </c>
      <c r="F8" s="6">
        <f>E8/$E$11</f>
        <v/>
      </c>
    </row>
    <row r="9">
      <c r="A9" s="4" t="inlineStr">
        <is>
          <t>Camberwell Growth Capital LLP</t>
        </is>
      </c>
      <c r="B9" s="4" t="inlineStr">
        <is>
          <t>Ordinary</t>
        </is>
      </c>
      <c r="C9" s="5" t="n">
        <v>140000</v>
      </c>
      <c r="D9" s="6">
        <f>C9/$C$11</f>
        <v/>
      </c>
      <c r="E9" s="7">
        <f>$F$13*C9/$C$11</f>
        <v/>
      </c>
      <c r="F9" s="6">
        <f>E9/$E$11</f>
        <v/>
      </c>
    </row>
    <row r="10">
      <c r="A10" s="4" t="inlineStr">
        <is>
          <t>Management (EMI optionholders, exercised)</t>
        </is>
      </c>
      <c r="B10" s="4" t="inlineStr">
        <is>
          <t>Ordinary</t>
        </is>
      </c>
      <c r="C10" s="5" t="n">
        <v>20000</v>
      </c>
      <c r="D10" s="6">
        <f>C10/$C$11</f>
        <v/>
      </c>
      <c r="E10" s="7">
        <f>$F$13*C10/$C$11</f>
        <v/>
      </c>
      <c r="F10" s="6">
        <f>E10/$E$11</f>
        <v/>
      </c>
    </row>
    <row r="11">
      <c r="A11" s="8" t="inlineStr">
        <is>
          <t>Total issued share capital</t>
        </is>
      </c>
      <c r="B11" s="9" t="n"/>
      <c r="C11" s="10">
        <f>SUM(C6:C10)</f>
        <v/>
      </c>
      <c r="D11" s="11">
        <f>SUM(D6:D10)</f>
        <v/>
      </c>
      <c r="E11" s="12">
        <f>SUM(E6:E10)</f>
        <v/>
      </c>
      <c r="F11" s="11">
        <f>SUM(F6:F10)</f>
        <v/>
      </c>
    </row>
    <row r="13">
      <c r="A13" s="13" t="inlineStr">
        <is>
          <t>Enterprise value (agreed)</t>
        </is>
      </c>
      <c r="D13" s="14" t="inlineStr">
        <is>
          <t>Consideration build (£)</t>
        </is>
      </c>
      <c r="F13" s="15" t="n">
        <v>36000000</v>
      </c>
    </row>
    <row r="14">
      <c r="A14" s="13" t="inlineStr">
        <is>
          <t>less: Estimated net debt at completion</t>
        </is>
      </c>
      <c r="F14" s="15" t="n">
        <v>-3200000</v>
      </c>
    </row>
    <row r="15">
      <c r="A15" s="14" t="inlineStr">
        <is>
          <t>Equity consideration (total)</t>
        </is>
      </c>
      <c r="F15" s="16">
        <f>SUM(F13:F14)</f>
        <v/>
      </c>
    </row>
    <row r="17">
      <c r="A17" s="13" t="inlineStr">
        <is>
          <t>Price per ordinary share (£)</t>
        </is>
      </c>
      <c r="F17" s="17">
        <f>F15/C11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2026-06-26T00:21:42Z</dcterms:created>
  <dcterms:modified xmlns:dcterms="http://purl.org/dc/terms/" xmlns:xsi="http://www.w3.org/2001/XMLSchema-instance" xsi:type="dcterms:W3CDTF">2026-06-26T00:21:42Z</dcterms:modified>
</cp:coreProperties>
</file>