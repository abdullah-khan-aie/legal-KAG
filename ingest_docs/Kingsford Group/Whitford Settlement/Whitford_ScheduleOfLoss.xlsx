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hedule of Loss" sheetId="2" state="visible" r:id="rId2"/>
    <sheet xmlns:r="http://schemas.openxmlformats.org/officeDocument/2006/relationships" name="Settl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;(£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rgb="00666666"/>
      <sz val="9"/>
    </font>
    <font>
      <name val="Arial"/>
    </font>
    <font>
      <name val="Arial"/>
      <b val="1"/>
    </font>
    <font>
      <name val="Arial"/>
      <b val="1"/>
      <color rgb="001F3864"/>
      <sz val="12"/>
    </font>
    <font>
      <name val="Arial"/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C6D4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  <xf numFmtId="1" fontId="5" fillId="0" borderId="1" pivotButton="0" quotePrefix="0" xfId="0"/>
    <xf numFmtId="0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8" fillId="3" borderId="1" pivotButton="0" quotePrefix="0" xfId="0"/>
    <xf numFmtId="0" fontId="0" fillId="3" borderId="1" pivotButton="0" quotePrefix="0" xfId="0"/>
    <xf numFmtId="164" fontId="8" fillId="3" borderId="1" pivotButton="0" quotePrefix="0" xfId="0"/>
    <xf numFmtId="0" fontId="9" fillId="4" borderId="1" pivotButton="0" quotePrefix="0" xfId="0"/>
    <xf numFmtId="0" fontId="0" fillId="4" borderId="1" pivotButton="0" quotePrefix="0" xfId="0"/>
    <xf numFmtId="164" fontId="9" fillId="4" borderId="1" pivotButton="0" quotePrefix="0" xfId="0"/>
    <xf numFmtId="0" fontId="10" fillId="3" borderId="1" pivotButton="0" quotePrefix="0" xfId="0"/>
    <xf numFmtId="164" fontId="10" fillId="3" borderId="1" pivotButton="0" quotePrefix="0" xfId="0"/>
    <xf numFmtId="0" fontId="8" fillId="0" borderId="0" pivotButton="0" quotePrefix="0" xfId="0"/>
    <xf numFmtId="164" fontId="8" fillId="0" borderId="0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4" customWidth="1" min="3" max="3"/>
  </cols>
  <sheetData>
    <row r="1">
      <c r="A1" s="1" t="inlineStr">
        <is>
          <t>Whitford v Kingsford Group Limited — Schedule of Loss</t>
        </is>
      </c>
    </row>
    <row r="2">
      <c r="A2" s="2" t="inlineStr">
        <is>
          <t>Claimant's schedule (draft) prepared by Harland Vesey LLP — 6 January 2026. Figures on a full-liability basis.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Gross annual basic salary</t>
        </is>
      </c>
      <c r="B5" s="5" t="n">
        <v>245000</v>
      </c>
      <c r="C5" s="6" t="inlineStr">
        <is>
          <t>Service agreement cl.4.1</t>
        </is>
      </c>
    </row>
    <row r="6">
      <c r="A6" s="4" t="inlineStr">
        <is>
          <t>Target annual bonus (% of salary)</t>
        </is>
      </c>
      <c r="B6" s="7" t="n">
        <v>0.4</v>
      </c>
      <c r="C6" s="6" t="inlineStr">
        <is>
          <t>Service agreement cl.4.2</t>
        </is>
      </c>
    </row>
    <row r="7">
      <c r="A7" s="4" t="inlineStr">
        <is>
          <t>Employer pension contribution (% salary)</t>
        </is>
      </c>
      <c r="B7" s="7" t="n">
        <v>0.12</v>
      </c>
      <c r="C7" s="6" t="inlineStr">
        <is>
          <t>Service agreement cl.4.3</t>
        </is>
      </c>
    </row>
    <row r="8">
      <c r="A8" s="4" t="inlineStr">
        <is>
          <t>Car allowance (per annum)</t>
        </is>
      </c>
      <c r="B8" s="5" t="n">
        <v>14000</v>
      </c>
      <c r="C8" s="6" t="inlineStr">
        <is>
          <t>Service agreement cl.4.3</t>
        </is>
      </c>
    </row>
    <row r="9">
      <c r="A9" s="4" t="inlineStr">
        <is>
          <t>Notice period (months)</t>
        </is>
      </c>
      <c r="B9" s="8" t="n">
        <v>12</v>
      </c>
      <c r="C9" s="6" t="inlineStr">
        <is>
          <t>Service agreement cl.12.1</t>
        </is>
      </c>
    </row>
    <row r="10">
      <c r="A10" s="4" t="inlineStr">
        <is>
          <t>Continuous service (complete years)</t>
        </is>
      </c>
      <c r="B10" s="8" t="n">
        <v>12</v>
      </c>
      <c r="C10" s="6" t="inlineStr">
        <is>
          <t>From 1 April 2013</t>
        </is>
      </c>
    </row>
    <row r="11">
      <c r="A11" s="4" t="inlineStr">
        <is>
          <t>Age at termination</t>
        </is>
      </c>
      <c r="B11" s="8" t="n">
        <v>52</v>
      </c>
      <c r="C11" s="6" t="inlineStr">
        <is>
          <t>For basic award / statutory multiplier</t>
        </is>
      </c>
    </row>
    <row r="12">
      <c r="A12" s="4" t="inlineStr">
        <is>
          <t>Effective date of termination</t>
        </is>
      </c>
      <c r="B12" s="9" t="inlineStr">
        <is>
          <t>31 Jan 2026</t>
        </is>
      </c>
      <c r="C12" s="6" t="inlineStr">
        <is>
          <t>Proposed termination date</t>
        </is>
      </c>
    </row>
    <row r="13">
      <c r="A13" s="4" t="inlineStr">
        <is>
          <t>Assumed months to re-employment</t>
        </is>
      </c>
      <c r="B13" s="8" t="n">
        <v>15</v>
      </c>
      <c r="C13" s="6" t="inlineStr">
        <is>
          <t>Claimant's case — senior role scarcity</t>
        </is>
      </c>
    </row>
    <row r="14">
      <c r="A14" s="4" t="inlineStr">
        <is>
          <t>Statutory cap disapplied?</t>
        </is>
      </c>
      <c r="B14" s="9" t="inlineStr">
        <is>
          <t>Yes (s.103A)</t>
        </is>
      </c>
      <c r="C14" s="6" t="inlineStr">
        <is>
          <t>Automatically unfair — protected disclosure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16" customWidth="1" min="3" max="3"/>
  </cols>
  <sheetData>
    <row r="1">
      <c r="A1" s="1" t="inlineStr">
        <is>
          <t>Schedule of Loss — full liability basis</t>
        </is>
      </c>
    </row>
    <row r="4">
      <c r="A4" s="3" t="inlineStr">
        <is>
          <t>Head of loss</t>
        </is>
      </c>
      <c r="B4" s="3" t="inlineStr">
        <is>
          <t>Basis</t>
        </is>
      </c>
      <c r="C4" s="3" t="inlineStr">
        <is>
          <t>Amount (£)</t>
        </is>
      </c>
    </row>
    <row r="5">
      <c r="A5" s="10" t="inlineStr">
        <is>
          <t>1. Basic award</t>
        </is>
      </c>
      <c r="B5" s="6" t="inlineStr">
        <is>
          <t>12 yrs' service, capped week (£700) x 1.5 (age 52)</t>
        </is>
      </c>
      <c r="C5" s="11">
        <f>12*700*1.5</f>
        <v/>
      </c>
    </row>
    <row r="6">
      <c r="A6" s="10" t="inlineStr">
        <is>
          <t>2. Past loss of earnings</t>
        </is>
      </c>
      <c r="B6" s="6" t="inlineStr">
        <is>
          <t>Net monthly salary x 5 months (term to hearing)</t>
        </is>
      </c>
      <c r="C6" s="11">
        <f>(Assumptions!$B$5/12)*0.62*5</f>
        <v/>
      </c>
    </row>
    <row r="7">
      <c r="A7" s="10" t="inlineStr">
        <is>
          <t>3. Future loss of earnings</t>
        </is>
      </c>
      <c r="B7" s="6" t="inlineStr">
        <is>
          <t>Net monthly salary x (months to re-employment)</t>
        </is>
      </c>
      <c r="C7" s="11">
        <f>(Assumptions!$B$5/12)*0.62*Assumptions!$B$13</f>
        <v/>
      </c>
    </row>
    <row r="8">
      <c r="A8" s="10" t="inlineStr">
        <is>
          <t>4. Lost bonus</t>
        </is>
      </c>
      <c r="B8" s="6" t="inlineStr">
        <is>
          <t>Target bonus over notice + mitigation period (net)</t>
        </is>
      </c>
      <c r="C8" s="11">
        <f>Assumptions!$B$5*Assumptions!$B$6*0.62*((5+Assumptions!$B$13)/12)</f>
        <v/>
      </c>
    </row>
    <row r="9">
      <c r="A9" s="10" t="inlineStr">
        <is>
          <t>5. Lost pension contributions</t>
        </is>
      </c>
      <c r="B9" s="6" t="inlineStr">
        <is>
          <t>Employer pension over loss period</t>
        </is>
      </c>
      <c r="C9" s="11">
        <f>Assumptions!$B$5*Assumptions!$B$7*((5+Assumptions!$B$13)/12)</f>
        <v/>
      </c>
    </row>
    <row r="10">
      <c r="A10" s="10" t="inlineStr">
        <is>
          <t>6. Lost benefits (car allowance, PMI, life)</t>
        </is>
      </c>
      <c r="B10" s="6" t="inlineStr">
        <is>
          <t>Car allowance + est. £3,600 benefits, over loss period</t>
        </is>
      </c>
      <c r="C10" s="11">
        <f>(Assumptions!$B$8+3600)*((5+Assumptions!$B$13)/12)</f>
        <v/>
      </c>
    </row>
    <row r="11">
      <c r="A11" s="10" t="inlineStr">
        <is>
          <t>7. Injury to feelings</t>
        </is>
      </c>
      <c r="B11" s="6" t="inlineStr">
        <is>
          <t>Middle Vento band (protected disclosure detriment)</t>
        </is>
      </c>
      <c r="C11" s="11">
        <f>32000</f>
        <v/>
      </c>
    </row>
    <row r="12">
      <c r="A12" s="10" t="inlineStr">
        <is>
          <t>8. Loss of statutory rights</t>
        </is>
      </c>
      <c r="B12" s="6" t="inlineStr">
        <is>
          <t>Conventional award</t>
        </is>
      </c>
      <c r="C12" s="11">
        <f>600</f>
        <v/>
      </c>
    </row>
    <row r="13">
      <c r="A13" s="10" t="inlineStr">
        <is>
          <t>9. ACAS uplift (10% — failure to follow procedure)</t>
        </is>
      </c>
      <c r="B13" s="6" t="inlineStr">
        <is>
          <t>10% of compensatory heads (2-6)</t>
        </is>
      </c>
      <c r="C13" s="11">
        <f>0.10*(C6+C7+C8+C9+C10)</f>
        <v/>
      </c>
    </row>
    <row r="14">
      <c r="A14" s="12" t="inlineStr">
        <is>
          <t>Sub-total (heads 1–9)</t>
        </is>
      </c>
      <c r="B14" s="13" t="n"/>
      <c r="C14" s="14">
        <f>SUM(C5:C13)</f>
        <v/>
      </c>
    </row>
    <row r="15">
      <c r="A15" s="10" t="inlineStr">
        <is>
          <t>10. Interest and grossing-up (indicative)</t>
        </is>
      </c>
      <c r="B15" s="6" t="inlineStr">
        <is>
          <t>5% of sub-total</t>
        </is>
      </c>
      <c r="C15" s="11">
        <f>0.05*C14</f>
        <v/>
      </c>
    </row>
    <row r="16">
      <c r="A16" s="15" t="inlineStr">
        <is>
          <t>TOTAL CLAIM (full liability)</t>
        </is>
      </c>
      <c r="B16" s="16" t="n"/>
      <c r="C16" s="17">
        <f>C14+C15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Agreed settlement computation</t>
        </is>
      </c>
    </row>
    <row r="2">
      <c r="A2" s="2" t="inlineStr">
        <is>
          <t>Reconciles negotiated terms to payroll treatment. Executed settlement agreement dated 26 February 2026.</t>
        </is>
      </c>
    </row>
    <row r="4">
      <c r="A4" s="3" t="inlineStr">
        <is>
          <t>Payment</t>
        </is>
      </c>
      <c r="B4" s="3" t="inlineStr">
        <is>
          <t>Basis / tax treatment</t>
        </is>
      </c>
      <c r="C4" s="3" t="inlineStr">
        <is>
          <t>Gross (£)</t>
        </is>
      </c>
      <c r="D4" s="3" t="inlineStr">
        <is>
          <t>Tax-free (£)</t>
        </is>
      </c>
      <c r="E4" s="3" t="inlineStr">
        <is>
          <t>Taxable (£)</t>
        </is>
      </c>
    </row>
    <row r="5">
      <c r="A5" s="10" t="inlineStr">
        <is>
          <t>PILON (12 months' basic salary)</t>
        </is>
      </c>
      <c r="B5" s="6" t="inlineStr">
        <is>
          <t>s.62 ITEPA — taxable earnings via payroll</t>
        </is>
      </c>
      <c r="C5" s="11">
        <f>Assumptions!$B$5</f>
        <v/>
      </c>
      <c r="D5" s="11" t="n">
        <v>0</v>
      </c>
      <c r="E5" s="11">
        <f>Assumptions!$B$5</f>
        <v/>
      </c>
    </row>
    <row r="6">
      <c r="A6" s="10" t="inlineStr">
        <is>
          <t>Ex gratia termination payment</t>
        </is>
      </c>
      <c r="B6" s="6" t="inlineStr">
        <is>
          <t>s.401 ITEPA — first £30,000 tax-free</t>
        </is>
      </c>
      <c r="C6" s="11" t="n">
        <v>185000</v>
      </c>
      <c r="D6" s="11" t="n">
        <v>30000</v>
      </c>
      <c r="E6" s="11">
        <f>185000-30000</f>
        <v/>
      </c>
    </row>
    <row r="7">
      <c r="A7" s="10" t="inlineStr">
        <is>
          <t>Accrued but untaken holiday</t>
        </is>
      </c>
      <c r="B7" s="6" t="inlineStr">
        <is>
          <t>Contractual — taxable</t>
        </is>
      </c>
      <c r="C7" s="11" t="n">
        <v>4712</v>
      </c>
      <c r="D7" s="11" t="n">
        <v>0</v>
      </c>
      <c r="E7" s="11" t="n">
        <v>4712</v>
      </c>
    </row>
    <row r="8">
      <c r="A8" s="10" t="inlineStr">
        <is>
          <t>Legal fees contribution</t>
        </is>
      </c>
      <c r="B8" s="6" t="inlineStr">
        <is>
          <t>s.413A ITEPA — paid to adviser, tax-free</t>
        </is>
      </c>
      <c r="C8" s="11" t="n">
        <v>750</v>
      </c>
      <c r="D8" s="11" t="n">
        <v>750</v>
      </c>
      <c r="E8" s="11" t="n">
        <v>0</v>
      </c>
    </row>
    <row r="9">
      <c r="A9" s="18" t="inlineStr">
        <is>
          <t>TOTALS</t>
        </is>
      </c>
      <c r="B9" s="13" t="n"/>
      <c r="C9" s="19">
        <f>SUM(C5:C8)</f>
        <v/>
      </c>
      <c r="D9" s="19">
        <f>SUM(D5:D8)</f>
        <v/>
      </c>
      <c r="E9" s="19">
        <f>SUM(E5:E8)</f>
        <v/>
      </c>
    </row>
    <row r="11">
      <c r="A11" s="20" t="inlineStr">
        <is>
          <t>Estimated net to Mr Whitford (after tax on taxable elements at 45%)</t>
        </is>
      </c>
      <c r="C11" s="21">
        <f>C9-(E9*0.45)</f>
        <v/>
      </c>
    </row>
    <row r="12">
      <c r="A12" s="22" t="inlineStr">
        <is>
          <t>Note: ex gratia agreed at £185,000, between the Company's £150,000 opening offer and the claimant's £200,000 counter (v2 redline). Compare full-liability claim of ~£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2026-07-01T09:01:55Z</dcterms:created>
  <dcterms:modified xmlns:dcterms="http://purl.org/dc/terms/" xmlns:xsi="http://www.w3.org/2001/XMLSchema-instance" xsi:type="dcterms:W3CDTF">2026-07-01T09:01:55Z</dcterms:modified>
</cp:coreProperties>
</file>