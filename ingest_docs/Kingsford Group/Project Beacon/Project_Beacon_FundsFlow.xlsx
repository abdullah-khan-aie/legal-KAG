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<sst xmlns="http://schemas.openxmlformats.org/spreadsheetml/2006/main" count="35" uniqueCount="35">
  <si>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Project Beacon — Completion Funds Flow Statement</t>
  </si>
  <si>
    <t xml:space="preserve">Completion: 27 March 2026. All amounts in GBP, immediately available funds.</t>
  </si>
  <si>
    <t xml:space="preserve">Ref</t>
  </si>
  <si>
    <t xml:space="preserve">Payer / Payee</t>
  </si>
  <si>
    <t xml:space="preserve">Detail</t>
  </si>
  <si>
    <t xml:space="preserve">Amount (£)</t>
  </si>
  <si>
    <t xml:space="preserve">1</t>
  </si>
  <si>
    <t xml:space="preserve">Kingsford Group Limited → WC client account</t>
  </si>
  <si>
    <t xml:space="preserve">Net initial cash consideration</t>
  </si>
  <si>
    <t xml:space="preserve">2</t>
  </si>
  <si>
    <t xml:space="preserve">Kingsford Group Limited → Escrow Account</t>
  </si>
  <si>
    <t xml:space="preserve">Escrow Amount (joint names; 18 months)</t>
  </si>
  <si>
    <t xml:space="preserve">3</t>
  </si>
  <si>
    <t xml:space="preserve">WC client account → Sellers (pro rata)</t>
  </si>
  <si>
    <t xml:space="preserve">Distribution of net initial cash to Sellers</t>
  </si>
  <si>
    <t xml:space="preserve">4</t>
  </si>
  <si>
    <t xml:space="preserve">WC client account → Sterling Commercial Bank plc</t>
  </si>
  <si>
    <t xml:space="preserve">Redemption of Solstice Studios overdraft / term loan</t>
  </si>
  <si>
    <t xml:space="preserve">5</t>
  </si>
  <si>
    <t xml:space="preserve">WC client account → Sellers (adjustment holdback)</t>
  </si>
  <si>
    <t xml:space="preserve">Working-capital holdback pending completion accounts</t>
  </si>
  <si>
    <t xml:space="preserve">6</t>
  </si>
  <si>
    <t xml:space="preserve">Buyer → HMRC (post-completion)</t>
  </si>
  <si>
    <t xml:space="preserve">Stamp duty 0.5% on £16,300,000 (memo only)</t>
  </si>
  <si>
    <t xml:space="preserve">Net movement through WC client account (must equal nil)</t>
  </si>
  <si>
    <t xml:space="preserve">Allocation of net initial cash to Sellers</t>
  </si>
  <si>
    <t xml:space="preserve">Seller</t>
  </si>
  <si>
    <t xml:space="preserve">% Holding</t>
  </si>
  <si>
    <t xml:space="preserve">Net cash (£)</t>
  </si>
  <si>
    <t xml:space="preserve">Geoffrey Alan Solstice</t>
  </si>
  <si>
    <t xml:space="preserve">Amelia Rose Solstice</t>
  </si>
  <si>
    <t xml:space="preserve">Daniel James Forsythe</t>
  </si>
  <si>
    <t xml:space="preserve">Pemberley Growth LP</t>
  </si>
  <si>
    <t xml:space="preserve">Total</t>
  </si>
  <si>
    <t xml:space="preserve">Note: the £820,000 bank redemption is funded from completion cash; sellers receive net initial cash of £15,300,000 less any working-capital holdback (nil at completion). Escrow of £1,000,000 held jointly for 18 months.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</si>
</sst>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1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8</v>
      </c>
      <c r="D5" s="6" t="n">
        <v>15300000</v>
      </c>
    </row>
    <row r="6" customFormat="false" ht="15" hidden="false" customHeight="false" outlineLevel="0" collapsed="false">
      <c r="A6" s="5" t="s">
        <v>9</v>
      </c>
      <c r="B6" s="5" t="s">
        <v>10</v>
      </c>
      <c r="C6" s="5" t="s">
        <v>11</v>
      </c>
      <c r="D6" s="6" t="n">
        <v>1000000</v>
      </c>
    </row>
    <row r="7" customFormat="false" ht="15" hidden="false" customHeight="false" outlineLevel="0" collapsed="false">
      <c r="A7" s="5" t="s">
        <v>12</v>
      </c>
      <c r="B7" s="5" t="s">
        <v>13</v>
      </c>
      <c r="C7" s="5" t="s">
        <v>14</v>
      </c>
      <c r="D7" s="6" t="n">
        <v>-15300000</v>
      </c>
    </row>
    <row r="8" customFormat="false" ht="15" hidden="false" customHeight="false" outlineLevel="0" collapsed="false">
      <c r="A8" s="5" t="s">
        <v>15</v>
      </c>
      <c r="B8" s="5" t="s">
        <v>16</v>
      </c>
      <c r="C8" s="5" t="s">
        <v>17</v>
      </c>
      <c r="D8" s="6" t="n">
        <v>-820000</v>
      </c>
    </row>
    <row r="9" customFormat="false" ht="15" hidden="false" customHeight="false" outlineLevel="0" collapsed="false">
      <c r="A9" s="5" t="s">
        <v>18</v>
      </c>
      <c r="B9" s="5" t="s">
        <v>19</v>
      </c>
      <c r="C9" s="5" t="s">
        <v>20</v>
      </c>
      <c r="D9" s="7" t="n">
        <v>0</v>
      </c>
    </row>
    <row r="10" customFormat="false" ht="15" hidden="false" customHeight="false" outlineLevel="0" collapsed="false">
      <c r="A10" s="5" t="s">
        <v>21</v>
      </c>
      <c r="B10" s="5" t="s">
        <v>22</v>
      </c>
      <c r="C10" s="5" t="s">
        <v>23</v>
      </c>
      <c r="D10" s="7" t="n">
        <v>0</v>
      </c>
    </row>
    <row r="11" customFormat="false" ht="15" hidden="false" customHeight="false" outlineLevel="0" collapsed="false">
      <c r="C11" s="8" t="s">
        <v>24</v>
      </c>
      <c r="D11" s="9" t="n">
        <f aca="false">D5+D7+D8+D9</f>
        <v>-820000</v>
      </c>
    </row>
    <row r="14" customFormat="false" ht="15" hidden="false" customHeight="false" outlineLevel="0" collapsed="false">
      <c r="A14" s="10" t="s">
        <v>25</v>
      </c>
    </row>
    <row r="15" customFormat="false" ht="15" hidden="false" customHeight="false" outlineLevel="0" collapsed="false">
      <c r="A15" s="4" t="s">
        <v>26</v>
      </c>
      <c r="B15" s="4" t="s">
        <v>27</v>
      </c>
      <c r="C15" s="4" t="s">
        <v>28</v>
      </c>
    </row>
    <row r="16" customFormat="false" ht="15" hidden="false" customHeight="false" outlineLevel="0" collapsed="false">
      <c r="A16" s="5" t="s">
        <v>29</v>
      </c>
      <c r="B16" s="11" t="n">
        <v>0.35</v>
      </c>
      <c r="C16" s="12" t="n">
        <f aca="false">B16*15300000</f>
        <v>5355000</v>
      </c>
    </row>
    <row r="17" customFormat="false" ht="15" hidden="false" customHeight="false" outlineLevel="0" collapsed="false">
      <c r="A17" s="5" t="s">
        <v>30</v>
      </c>
      <c r="B17" s="11" t="n">
        <v>0.2</v>
      </c>
      <c r="C17" s="12" t="n">
        <f aca="false">B17*15300000</f>
        <v>3060000</v>
      </c>
    </row>
    <row r="18" customFormat="false" ht="15" hidden="false" customHeight="false" outlineLevel="0" collapsed="false">
      <c r="A18" s="5" t="s">
        <v>31</v>
      </c>
      <c r="B18" s="11" t="n">
        <v>0.3</v>
      </c>
      <c r="C18" s="12" t="n">
        <f aca="false">B18*15300000</f>
        <v>4590000</v>
      </c>
    </row>
    <row r="19" customFormat="false" ht="15" hidden="false" customHeight="false" outlineLevel="0" collapsed="false">
      <c r="A19" s="5" t="s">
        <v>32</v>
      </c>
      <c r="B19" s="11" t="n">
        <v>0.15</v>
      </c>
      <c r="C19" s="12" t="n">
        <f aca="false">B19*15300000</f>
        <v>2295000</v>
      </c>
    </row>
    <row r="20" customFormat="false" ht="15" hidden="false" customHeight="false" outlineLevel="0" collapsed="false">
      <c r="A20" s="8" t="s">
        <v>33</v>
      </c>
      <c r="B20" s="13" t="n">
        <f aca="false">SUM(B16:B19)</f>
        <v>1</v>
      </c>
      <c r="C20" s="9" t="n">
        <f aca="false">SUM(C16:C19)</f>
        <v>15300000</v>
      </c>
    </row>
    <row r="22" customFormat="false" ht="15" hidden="false" customHeight="false" outlineLevel="0" collapsed="false">
      <c r="A22" s="1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2026-06-25T18:46:28Z</dcterms:created>
  <dc:creator>openpyxl</dc:creator>
  <dc:description/>
  <dc:language>en-US</dc:language>
  <cp:lastModifiedBy/>
  <dcterms:modified xsi:type="dcterms:W3CDTF">2026-06-25T18:46:28Z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