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 Tab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<sst xmlns="http://schemas.openxmlformats.org/spreadsheetml/2006/main" count="27" uniqueCount="24">
  <si>
    <t xml:space="preserve">Project Beacon — Solstice Wellbeing Holdings Limited</t>
  </si>
  <si>
    <t xml:space="preserve">Capitalisation table (pre-completion) and consideration allocation</t>
  </si>
  <si>
    <t xml:space="preserve">All figures in GBP. Blue = input. Prepared by Whitfield Carter LLP, 24 March 2026.</t>
  </si>
  <si>
    <t xml:space="preserve">Shareholder</t>
  </si>
  <si>
    <t xml:space="preserve">Class</t>
  </si>
  <si>
    <t xml:space="preserve">Shares</t>
  </si>
  <si>
    <t xml:space="preserve">% Holding</t>
  </si>
  <si>
    <t xml:space="preserve">Initial Cash (£)</t>
  </si>
  <si>
    <t xml:space="preserve">Earn-Out share (%)</t>
  </si>
  <si>
    <t xml:space="preserve">Geoffrey Alan Solstice</t>
  </si>
  <si>
    <t xml:space="preserve">Ordinary</t>
  </si>
  <si>
    <t xml:space="preserve">Amelia Rose Solstice</t>
  </si>
  <si>
    <t xml:space="preserve">Daniel James Forsythe</t>
  </si>
  <si>
    <t xml:space="preserve">Pemberley Growth LP</t>
  </si>
  <si>
    <t xml:space="preserve">Total</t>
  </si>
  <si>
    <t xml:space="preserve">Consideration build-up</t>
  </si>
  <si>
    <t xml:space="preserve">Enterprise value (cash-free / debt-free)</t>
  </si>
  <si>
    <t xml:space="preserve">less: estimated net debt at completion</t>
  </si>
  <si>
    <t xml:space="preserve">Equity value</t>
  </si>
  <si>
    <t xml:space="preserve">less: Escrow Amount (18 months)</t>
  </si>
  <si>
    <t xml:space="preserve">Net initial cash payable at completion</t>
  </si>
  <si>
    <t xml:space="preserve">Target working capital (for adjustment)</t>
  </si>
  <si>
    <t xml:space="preserve">Maximum earn-out (FY2026 EBITDA)</t>
  </si>
  <si>
    <t xml:space="preserve">Note: Equity value of £18,300,000 = £16,300,000 initial cash + £1,000,000 escrow + up to £1,000,000 earn-out (earn-out excluded from equity value as contingent).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</si>
</sst>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"/>
    <numFmt numFmtId="167" formatCode="\£#,##0;&quot;(£&quot;#,##0\);\-"/>
    <numFmt numFmtId="168" formatCode="\£#,##0;&quot;(£&quot;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6" min="2" style="1" width="16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26.2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customFormat="false" ht="15" hidden="false" customHeight="true" outlineLevel="0" collapsed="false">
      <c r="A6" s="6" t="s">
        <v>9</v>
      </c>
      <c r="B6" s="6" t="s">
        <v>10</v>
      </c>
      <c r="C6" s="7" t="n">
        <v>350000</v>
      </c>
      <c r="D6" s="8" t="n">
        <f aca="false">C6/$C$10</f>
        <v>0.35</v>
      </c>
      <c r="E6" s="9" t="n">
        <f aca="false">D6*16300000</f>
        <v>5705000</v>
      </c>
      <c r="F6" s="10" t="n">
        <v>0.4118</v>
      </c>
    </row>
    <row r="7" customFormat="false" ht="15" hidden="false" customHeight="true" outlineLevel="0" collapsed="false">
      <c r="A7" s="6" t="s">
        <v>11</v>
      </c>
      <c r="B7" s="6" t="s">
        <v>10</v>
      </c>
      <c r="C7" s="7" t="n">
        <v>200000</v>
      </c>
      <c r="D7" s="8" t="n">
        <f aca="false">C7/$C$10</f>
        <v>0.2</v>
      </c>
      <c r="E7" s="9" t="n">
        <f aca="false">D7*16300000</f>
        <v>3260000</v>
      </c>
      <c r="F7" s="10" t="n">
        <v>0.2353</v>
      </c>
    </row>
    <row r="8" customFormat="false" ht="15" hidden="false" customHeight="true" outlineLevel="0" collapsed="false">
      <c r="A8" s="6" t="s">
        <v>12</v>
      </c>
      <c r="B8" s="6" t="s">
        <v>10</v>
      </c>
      <c r="C8" s="7" t="n">
        <v>300000</v>
      </c>
      <c r="D8" s="8" t="n">
        <f aca="false">C8/$C$10</f>
        <v>0.3</v>
      </c>
      <c r="E8" s="9" t="n">
        <f aca="false">D8*16300000</f>
        <v>4890000</v>
      </c>
      <c r="F8" s="10" t="n">
        <v>0.3529</v>
      </c>
    </row>
    <row r="9" customFormat="false" ht="15" hidden="false" customHeight="true" outlineLevel="0" collapsed="false">
      <c r="A9" s="6" t="s">
        <v>13</v>
      </c>
      <c r="B9" s="6" t="s">
        <v>10</v>
      </c>
      <c r="C9" s="7" t="n">
        <v>150000</v>
      </c>
      <c r="D9" s="8" t="n">
        <f aca="false">C9/$C$10</f>
        <v>0.15</v>
      </c>
      <c r="E9" s="9" t="n">
        <f aca="false">D9*16300000</f>
        <v>2445000</v>
      </c>
      <c r="F9" s="10" t="n">
        <v>0</v>
      </c>
    </row>
    <row r="10" customFormat="false" ht="15" hidden="false" customHeight="true" outlineLevel="0" collapsed="false">
      <c r="A10" s="11" t="s">
        <v>14</v>
      </c>
      <c r="B10" s="11"/>
      <c r="C10" s="12" t="n">
        <f aca="false">SUM(C6:C9)</f>
        <v>1000000</v>
      </c>
      <c r="D10" s="13" t="n">
        <f aca="false">SUM(D6:D9)</f>
        <v>1</v>
      </c>
      <c r="E10" s="14" t="n">
        <f aca="false">SUM(E6:E9)</f>
        <v>16300000</v>
      </c>
      <c r="F10" s="13" t="n">
        <f aca="false">SUM(F6:F9)</f>
        <v>1</v>
      </c>
    </row>
    <row r="13" customFormat="false" ht="15" hidden="false" customHeight="true" outlineLevel="0" collapsed="false">
      <c r="A13" s="15" t="s">
        <v>15</v>
      </c>
    </row>
    <row r="14" customFormat="false" ht="15" hidden="false" customHeight="true" outlineLevel="0" collapsed="false">
      <c r="A14" s="6" t="s">
        <v>16</v>
      </c>
      <c r="E14" s="16" t="n">
        <v>19500000</v>
      </c>
    </row>
    <row r="15" customFormat="false" ht="15" hidden="false" customHeight="true" outlineLevel="0" collapsed="false">
      <c r="A15" s="6" t="s">
        <v>17</v>
      </c>
      <c r="E15" s="16" t="n">
        <v>-1200000</v>
      </c>
    </row>
    <row r="16" customFormat="false" ht="15" hidden="false" customHeight="true" outlineLevel="0" collapsed="false">
      <c r="A16" s="17" t="s">
        <v>18</v>
      </c>
      <c r="E16" s="18" t="n">
        <f aca="false">E14+E15</f>
        <v>18300000</v>
      </c>
    </row>
    <row r="17" customFormat="false" ht="15" hidden="false" customHeight="true" outlineLevel="0" collapsed="false">
      <c r="A17" s="6" t="s">
        <v>19</v>
      </c>
      <c r="E17" s="16" t="n">
        <v>-1000000</v>
      </c>
    </row>
    <row r="18" customFormat="false" ht="15" hidden="false" customHeight="true" outlineLevel="0" collapsed="false">
      <c r="A18" s="17" t="s">
        <v>20</v>
      </c>
      <c r="E18" s="19" t="n">
        <f aca="false">16300000-(-E17)</f>
        <v>15300000</v>
      </c>
    </row>
    <row r="19" customFormat="false" ht="15" hidden="false" customHeight="true" outlineLevel="0" collapsed="false">
      <c r="A19" s="6" t="s">
        <v>21</v>
      </c>
      <c r="E19" s="16" t="n">
        <v>620000</v>
      </c>
    </row>
    <row r="20" customFormat="false" ht="15" hidden="false" customHeight="true" outlineLevel="0" collapsed="false">
      <c r="A20" s="6" t="s">
        <v>22</v>
      </c>
      <c r="E20" s="16" t="n">
        <v>1000000</v>
      </c>
    </row>
    <row r="22" customFormat="false" ht="15" hidden="false" customHeight="true" outlineLevel="0" collapsed="false">
      <c r="A22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2026-06-25T18:46:28Z</dcterms:created>
  <dc:creator>openpyxl</dc:creator>
  <dc:description/>
  <dc:language>en-US</dc:language>
  <cp:lastModifiedBy/>
  <dcterms:modified xsi:type="dcterms:W3CDTF">2026-06-25T18:47:00Z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