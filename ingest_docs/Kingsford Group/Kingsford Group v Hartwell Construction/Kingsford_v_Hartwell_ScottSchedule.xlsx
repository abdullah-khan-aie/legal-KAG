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t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EF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right"/>
    </xf>
    <xf numFmtId="0" fontId="4" fillId="3" borderId="1" pivotButton="0" quotePrefix="0" xfId="0"/>
    <xf numFmtId="3" fontId="4" fillId="3" borderId="1" applyAlignment="1" pivotButton="0" quotePrefix="0" xfId="0">
      <alignment horizontal="right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24" customWidth="1" min="4" max="4"/>
    <col width="16" customWidth="1" min="5" max="5"/>
    <col width="42" customWidth="1" min="6" max="6"/>
    <col width="16" customWidth="1" min="7" max="7"/>
    <col width="40" customWidth="1" min="8" max="8"/>
  </cols>
  <sheetData>
    <row r="1">
      <c r="A1" s="1" t="inlineStr">
        <is>
          <t>Brampton Leisure Limited v Hartwell Construction Ltd — Claim No. HT-2025-000219</t>
        </is>
      </c>
    </row>
    <row r="2">
      <c r="A2" s="2" t="inlineStr">
        <is>
          <t>SCOTT SCHEDULE OF DEFECTS (composite — Claimant's case, Defendant's response, Claimant's reply)</t>
        </is>
      </c>
    </row>
    <row r="3">
      <c r="A3" s="2" t="inlineStr">
        <is>
          <t>Prepared by Whitfield Carter LLP for the Claimant. Defendant entries reproduced from Defence and disclosure. £ exclusive of VAT.</t>
        </is>
      </c>
    </row>
    <row r="5">
      <c r="A5" s="3" t="inlineStr">
        <is>
          <t>Item</t>
        </is>
      </c>
      <c r="B5" s="3" t="inlineStr">
        <is>
          <t>Element / Location</t>
        </is>
      </c>
      <c r="C5" s="3" t="inlineStr">
        <is>
          <t>Defect alleged (Claimant)</t>
        </is>
      </c>
      <c r="D5" s="3" t="inlineStr">
        <is>
          <t>Contract / standard breached</t>
        </is>
      </c>
      <c r="E5" s="3" t="inlineStr">
        <is>
          <t>Claimant remedial cost (£)</t>
        </is>
      </c>
      <c r="F5" s="3" t="inlineStr">
        <is>
          <t>Defendant's response</t>
        </is>
      </c>
      <c r="G5" s="3" t="inlineStr">
        <is>
          <t>Defendant's valuation (£)</t>
        </is>
      </c>
      <c r="H5" s="3" t="inlineStr">
        <is>
          <t>Claimant's reply</t>
        </is>
      </c>
    </row>
    <row r="6">
      <c r="A6" s="4" t="inlineStr">
        <is>
          <t>1.1</t>
        </is>
      </c>
      <c r="B6" s="4" t="inlineStr">
        <is>
          <t>Pool hall — curtain-wall / roof abutment</t>
        </is>
      </c>
      <c r="C6" s="4" t="inlineStr">
        <is>
          <t>Inadequately designed and defectively installed abutment detail permitting persistent water ingress; corrosion of structural steelwork; partial poolside closure.</t>
        </is>
      </c>
      <c r="D6" s="4" t="inlineStr">
        <is>
          <t>Cl. 2.1, 2.17; ER Section A2; CWCT Standard</t>
        </is>
      </c>
      <c r="E6" s="5" t="n">
        <v>512000</v>
      </c>
      <c r="F6" s="4" t="inlineStr">
        <is>
          <t>Constructed to Claimant's façade consultant's design; ingress due to lack of maintenance of rainwater goods.</t>
        </is>
      </c>
      <c r="G6" s="5" t="n">
        <v>0</v>
      </c>
      <c r="H6" s="4" t="inlineStr">
        <is>
          <t>Design was Contractor's Designed Portion; LFA report confirms workmanship failure at seals.</t>
        </is>
      </c>
    </row>
    <row r="7">
      <c r="A7" s="4" t="inlineStr">
        <is>
          <t>1.2</t>
        </is>
      </c>
      <c r="B7" s="4" t="inlineStr">
        <is>
          <t>Pool hall roof — steelwork corrosion</t>
        </is>
      </c>
      <c r="C7" s="4" t="inlineStr">
        <is>
          <t>Corrosion to exposed steelwork arising from ingress; protective treatment and partial replacement required.</t>
        </is>
      </c>
      <c r="D7" s="4" t="inlineStr">
        <is>
          <t>Cl. 2.1; BS EN ISO 12944</t>
        </is>
      </c>
      <c r="E7" s="5" t="n">
        <v>230500</v>
      </c>
      <c r="F7" s="4" t="inlineStr">
        <is>
          <t>Denied; consequential on 1.1 which is denied.</t>
        </is>
      </c>
      <c r="G7" s="5" t="n">
        <v>0</v>
      </c>
      <c r="H7" s="4" t="inlineStr">
        <is>
          <t>Quantum supported by structural engineer's costing at NR1/166.</t>
        </is>
      </c>
    </row>
    <row r="8">
      <c r="A8" s="4" t="inlineStr">
        <is>
          <t>2.1</t>
        </is>
      </c>
      <c r="B8" s="4" t="inlineStr">
        <is>
          <t>Pool water-treatment plant — filtration</t>
        </is>
      </c>
      <c r="C8" s="4" t="inlineStr">
        <is>
          <t>Filtration plant undersized against ER turnover rate; unable to maintain water quality.</t>
        </is>
      </c>
      <c r="D8" s="4" t="inlineStr">
        <is>
          <t>Cl. 2.17; ER Section M3; PWTAG 2017</t>
        </is>
      </c>
      <c r="E8" s="5" t="n">
        <v>268000</v>
      </c>
      <c r="F8" s="4" t="inlineStr">
        <is>
          <t>Plant sized to ER turnover figures provided by Employer; breaches due to over-occupancy.</t>
        </is>
      </c>
      <c r="G8" s="5" t="n">
        <v>42000</v>
      </c>
      <c r="H8" s="4" t="inlineStr">
        <is>
          <t>ER M3 turnover unambiguous; over-occupancy not made out on attendance data.</t>
        </is>
      </c>
    </row>
    <row r="9">
      <c r="A9" s="4" t="inlineStr">
        <is>
          <t>2.2</t>
        </is>
      </c>
      <c r="B9" s="4" t="inlineStr">
        <is>
          <t>Pool water-treatment plant — dosing/controls</t>
        </is>
      </c>
      <c r="C9" s="4" t="inlineStr">
        <is>
          <t>Dosing system incorrectly commissioned; repeated combined-chlorine and pH excursions; 3 closures.</t>
        </is>
      </c>
      <c r="D9" s="4" t="inlineStr">
        <is>
          <t>Cl. 2.1; ER M3; PWTAG</t>
        </is>
      </c>
      <c r="E9" s="5" t="n">
        <v>150000</v>
      </c>
      <c r="F9" s="4" t="inlineStr">
        <is>
          <t>Commissioning complete and signed off; operational mismanagement by Claimant.</t>
        </is>
      </c>
      <c r="G9" s="5" t="n">
        <v>18000</v>
      </c>
      <c r="H9" s="4" t="inlineStr">
        <is>
          <t>Commissioning records incomplete; EHO directions evidence underlying plant inadequacy.</t>
        </is>
      </c>
    </row>
    <row r="10">
      <c r="A10" s="4" t="inlineStr">
        <is>
          <t>3.1</t>
        </is>
      </c>
      <c r="B10" s="4" t="inlineStr">
        <is>
          <t>Pool hall ventilation — AHUs</t>
        </is>
      </c>
      <c r="C10" s="4" t="inlineStr">
        <is>
          <t>Air-handling units undersized; cannot maintain design humidity; condensation and mould.</t>
        </is>
      </c>
      <c r="D10" s="4" t="inlineStr">
        <is>
          <t>Cl. 2.17; ER M4; CIBSE TM58</t>
        </is>
      </c>
      <c r="E10" s="5" t="n">
        <v>421400</v>
      </c>
      <c r="F10" s="4" t="inlineStr">
        <is>
          <t>AHUs met design humidity at design water/air temperatures; Claimant ran outside design basis.</t>
        </is>
      </c>
      <c r="G10" s="5" t="n">
        <v>65000</v>
      </c>
      <c r="H10" s="4" t="inlineStr">
        <is>
          <t>Pool operated within CIBSE design basis; LFA airflow tests show shortfall of 22%.</t>
        </is>
      </c>
    </row>
    <row r="11">
      <c r="A11" s="4" t="inlineStr">
        <is>
          <t>3.2</t>
        </is>
      </c>
      <c r="B11" s="4" t="inlineStr">
        <is>
          <t>Pool hall finishes — mould remediation</t>
        </is>
      </c>
      <c r="C11" s="4" t="inlineStr">
        <is>
          <t>Deterioration of finishes from condensation; strip-out and replacement of affected finishes.</t>
        </is>
      </c>
      <c r="D11" s="4" t="inlineStr">
        <is>
          <t>Cl. 2.1</t>
        </is>
      </c>
      <c r="E11" s="5" t="n">
        <v>111000</v>
      </c>
      <c r="F11" s="4" t="inlineStr">
        <is>
          <t>Denied; consequential on 3.1 which is denied.</t>
        </is>
      </c>
      <c r="G11" s="5" t="n">
        <v>0</v>
      </c>
      <c r="H11" s="4" t="inlineStr">
        <is>
          <t>Quantum agreed in principle subject to liability.</t>
        </is>
      </c>
    </row>
    <row r="12">
      <c r="A12" s="4" t="inlineStr">
        <is>
          <t>4.1</t>
        </is>
      </c>
      <c r="B12" s="4" t="inlineStr">
        <is>
          <t>Studios 2 &amp; 3 — HVAC controls</t>
        </is>
      </c>
      <c r="C12" s="4" t="inlineStr">
        <is>
          <t>Controls defectively installed; studios unusable summer 2024.</t>
        </is>
      </c>
      <c r="D12" s="4" t="inlineStr">
        <is>
          <t>Cl. 2.1</t>
        </is>
      </c>
      <c r="E12" s="5" t="n">
        <v>64000</v>
      </c>
      <c r="F12" s="4" t="inlineStr">
        <is>
          <t>No defect admitted; commissioning matter remediable in Rectification Period.</t>
        </is>
      </c>
      <c r="G12" s="5" t="n">
        <v>12000</v>
      </c>
      <c r="H12" s="4" t="inlineStr">
        <is>
          <t>Not notifiable as latent; defect outside Contractor's own commissioning sign-off.</t>
        </is>
      </c>
    </row>
    <row r="13">
      <c r="D13" s="6" t="inlineStr">
        <is>
          <t>TOTAL REMEDIAL WORKS</t>
        </is>
      </c>
      <c r="E13" s="7">
        <f>SUM(E6:E12)</f>
        <v/>
      </c>
      <c r="F13" s="8" t="n"/>
      <c r="G13" s="7">
        <f>SUM(G6:G12)</f>
        <v/>
      </c>
      <c r="H13" s="8" t="n"/>
    </row>
    <row r="15">
      <c r="A15" s="2" t="inlineStr">
        <is>
          <t>Note: Scott Schedule remedial total (£1,756,900) ties to the cost-of-works element of the Schedule of Loss. Loss of profit, professional fees and member compensation are pleaded separately in the Schedule of Loss.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2026-06-25T15:13:53Z</dcterms:created>
  <dcterms:modified xmlns:dcterms="http://purl.org/dc/terms/" xmlns:xsi="http://www.w3.org/2001/XMLSchema-instance" xsi:type="dcterms:W3CDTF">2026-06-25T15:13:53Z</dcterms:modified>
</cp:coreProperties>
</file>