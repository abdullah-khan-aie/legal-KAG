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</font>
    <font>
      <name val="Calibri"/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EFF7"/>
      </patternFill>
    </fill>
    <fill>
      <patternFill patternType="solid">
        <fgColor rgb="00C9D6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3" fillId="3" borderId="0" pivotButton="0" quotePrefix="0" xfId="0"/>
    <xf numFmtId="3" fontId="3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4" customWidth="1" min="3" max="3"/>
    <col width="22" customWidth="1" min="4" max="4"/>
    <col width="16" customWidth="1" min="5" max="5"/>
  </cols>
  <sheetData>
    <row r="1">
      <c r="A1" s="1" t="inlineStr">
        <is>
          <t>Brampton Leisure Limited v Hartwell Construction Ltd — Claim No. HT-2025-000219</t>
        </is>
      </c>
    </row>
    <row r="2">
      <c r="A2" s="2" t="inlineStr">
        <is>
          <t>CLAIMANT'S SCHEDULE OF LOSS (as at 26 June 2025)</t>
        </is>
      </c>
    </row>
    <row r="4">
      <c r="A4" s="3" t="inlineStr">
        <is>
          <t>A.  Cost of remedial works</t>
        </is>
      </c>
    </row>
    <row r="5">
      <c r="A5" s="4" t="inlineStr">
        <is>
          <t>Ref</t>
        </is>
      </c>
      <c r="B5" s="4" t="inlineStr">
        <is>
          <t>Head</t>
        </is>
      </c>
      <c r="C5" s="4" t="inlineStr">
        <is>
          <t>Basis</t>
        </is>
      </c>
      <c r="D5" s="4" t="inlineStr">
        <is>
          <t>Amount (£)</t>
        </is>
      </c>
    </row>
    <row r="6">
      <c r="A6" s="5" t="inlineStr">
        <is>
          <t>1.1/1.2</t>
        </is>
      </c>
      <c r="B6" s="5" t="inlineStr">
        <is>
          <t>Façade / roof water ingress &amp; steelwork</t>
        </is>
      </c>
      <c r="C6" s="5" t="inlineStr">
        <is>
          <t>LFA + structural engineer costing</t>
        </is>
      </c>
      <c r="D6" s="6" t="n">
        <v>742500</v>
      </c>
    </row>
    <row r="7">
      <c r="A7" s="5" t="inlineStr">
        <is>
          <t>2.1/2.2</t>
        </is>
      </c>
      <c r="B7" s="5" t="inlineStr">
        <is>
          <t>Pool water-treatment plant</t>
        </is>
      </c>
      <c r="C7" s="5" t="inlineStr">
        <is>
          <t>M&amp;E quantity surveyor estimate</t>
        </is>
      </c>
      <c r="D7" s="6" t="n">
        <v>418000</v>
      </c>
    </row>
    <row r="8">
      <c r="A8" s="5" t="inlineStr">
        <is>
          <t>3.1/3.2</t>
        </is>
      </c>
      <c r="B8" s="5" t="inlineStr">
        <is>
          <t>Pool hall ventilation &amp; finishes</t>
        </is>
      </c>
      <c r="C8" s="5" t="inlineStr">
        <is>
          <t>LFA + QS estimate</t>
        </is>
      </c>
      <c r="D8" s="6" t="n">
        <v>596400</v>
      </c>
    </row>
    <row r="9">
      <c r="C9" s="7" t="inlineStr">
        <is>
          <t>Sub-total A — remedial works</t>
        </is>
      </c>
      <c r="D9" s="8">
        <f>SUM(D6:D8)</f>
        <v/>
      </c>
    </row>
    <row r="11">
      <c r="A11" s="3" t="inlineStr">
        <is>
          <t>B.  Investigation &amp; professional fees</t>
        </is>
      </c>
    </row>
    <row r="12">
      <c r="A12" s="4" t="inlineStr">
        <is>
          <t>Ref</t>
        </is>
      </c>
      <c r="B12" s="4" t="inlineStr">
        <is>
          <t>Item</t>
        </is>
      </c>
      <c r="C12" s="4" t="inlineStr">
        <is>
          <t>Provider</t>
        </is>
      </c>
      <c r="D12" s="4" t="inlineStr">
        <is>
          <t>Amount (£)</t>
        </is>
      </c>
    </row>
    <row r="13">
      <c r="A13" s="5" t="inlineStr">
        <is>
          <t>B1</t>
        </is>
      </c>
      <c r="B13" s="5" t="inlineStr">
        <is>
          <t>Building services &amp; façade investigation</t>
        </is>
      </c>
      <c r="C13" s="5" t="inlineStr">
        <is>
          <t>Lyle Forsyth Associates</t>
        </is>
      </c>
      <c r="D13" s="6" t="n">
        <v>96400</v>
      </c>
    </row>
    <row r="14">
      <c r="A14" s="5" t="inlineStr">
        <is>
          <t>B2</t>
        </is>
      </c>
      <c r="B14" s="5" t="inlineStr">
        <is>
          <t>Structural engineer (steelwork condition)</t>
        </is>
      </c>
      <c r="C14" s="5" t="inlineStr">
        <is>
          <t>Calthorpe Structures Ltd</t>
        </is>
      </c>
      <c r="D14" s="6" t="n">
        <v>31800</v>
      </c>
    </row>
    <row r="15">
      <c r="A15" s="5" t="inlineStr">
        <is>
          <t>B3</t>
        </is>
      </c>
      <c r="B15" s="5" t="inlineStr">
        <is>
          <t>Quantity surveyor (remedial costing)</t>
        </is>
      </c>
      <c r="C15" s="5" t="inlineStr">
        <is>
          <t>Marrable QS LLP</t>
        </is>
      </c>
      <c r="D15" s="6" t="n">
        <v>38500</v>
      </c>
    </row>
    <row r="16">
      <c r="A16" s="5" t="inlineStr">
        <is>
          <t>B4</t>
        </is>
      </c>
      <c r="B16" s="5" t="inlineStr">
        <is>
          <t>Water-quality / EHO liaison</t>
        </is>
      </c>
      <c r="C16" s="5" t="inlineStr">
        <is>
          <t>Aquatec Consulting</t>
        </is>
      </c>
      <c r="D16" s="6" t="n">
        <v>17500</v>
      </c>
    </row>
    <row r="17">
      <c r="C17" s="7" t="inlineStr">
        <is>
          <t>Sub-total B — professional fees</t>
        </is>
      </c>
      <c r="D17" s="8">
        <f>SUM(D13:D16)</f>
        <v/>
      </c>
    </row>
    <row r="19">
      <c r="A19" s="3" t="inlineStr">
        <is>
          <t>C.  Loss of profit (closures &amp; reduced membership)</t>
        </is>
      </c>
    </row>
    <row r="20">
      <c r="A20" s="4" t="inlineStr">
        <is>
          <t>Period</t>
        </is>
      </c>
      <c r="B20" s="4" t="inlineStr">
        <is>
          <t>Avg members</t>
        </is>
      </c>
      <c r="C20" s="4" t="inlineStr">
        <is>
          <t>Member shortfall vs plan</t>
        </is>
      </c>
      <c r="D20" s="4" t="inlineStr">
        <is>
          <t>Avg monthly margin/member (£)</t>
        </is>
      </c>
      <c r="E20" s="4" t="inlineStr">
        <is>
          <t>Loss (£)</t>
        </is>
      </c>
    </row>
    <row r="21">
      <c r="A21" s="5" t="inlineStr">
        <is>
          <t>Q2 2024 (closures)</t>
        </is>
      </c>
      <c r="B21" s="9" t="n">
        <v>3900</v>
      </c>
      <c r="C21" s="9" t="n">
        <v>0</v>
      </c>
      <c r="D21" s="9" t="n">
        <v>38</v>
      </c>
      <c r="E21" s="6" t="n">
        <v>142000</v>
      </c>
    </row>
    <row r="22">
      <c r="A22" s="5" t="inlineStr">
        <is>
          <t>Q3 2024</t>
        </is>
      </c>
      <c r="B22" s="9" t="n">
        <v>3450</v>
      </c>
      <c r="C22" s="9" t="n">
        <v>600</v>
      </c>
      <c r="D22" s="9" t="n">
        <v>38</v>
      </c>
      <c r="E22" s="6" t="n">
        <v>263000</v>
      </c>
    </row>
    <row r="23">
      <c r="A23" s="5" t="inlineStr">
        <is>
          <t>Q4 2024</t>
        </is>
      </c>
      <c r="B23" s="9" t="n">
        <v>3050</v>
      </c>
      <c r="C23" s="9" t="n">
        <v>1000</v>
      </c>
      <c r="D23" s="9" t="n">
        <v>38</v>
      </c>
      <c r="E23" s="6" t="n">
        <v>372000</v>
      </c>
    </row>
    <row r="24">
      <c r="A24" s="5" t="inlineStr">
        <is>
          <t>Q1 2025</t>
        </is>
      </c>
      <c r="B24" s="9" t="n">
        <v>2980</v>
      </c>
      <c r="C24" s="9" t="n">
        <v>1050</v>
      </c>
      <c r="D24" s="9" t="n">
        <v>38</v>
      </c>
      <c r="E24" s="6" t="n">
        <v>366000</v>
      </c>
    </row>
    <row r="25">
      <c r="A25" s="5" t="inlineStr">
        <is>
          <t>Q2 2025 (residual)</t>
        </is>
      </c>
      <c r="B25" s="9" t="n">
        <v>3010</v>
      </c>
      <c r="C25" s="9" t="n">
        <v>980</v>
      </c>
      <c r="D25" s="9" t="n">
        <v>38</v>
      </c>
      <c r="E25" s="6" t="n">
        <v>167000</v>
      </c>
    </row>
    <row r="26">
      <c r="D26" s="7" t="inlineStr">
        <is>
          <t>Sub-total C — loss of profit</t>
        </is>
      </c>
      <c r="E26" s="8">
        <f>SUM(E21:E25)</f>
        <v/>
      </c>
    </row>
    <row r="28">
      <c r="A28" s="3" t="inlineStr">
        <is>
          <t>D.  Member compensation &amp; alternative provision</t>
        </is>
      </c>
    </row>
    <row r="29">
      <c r="A29" s="4" t="inlineStr">
        <is>
          <t>Ref</t>
        </is>
      </c>
      <c r="B29" s="4" t="inlineStr">
        <is>
          <t>Item</t>
        </is>
      </c>
      <c r="C29" s="4" t="inlineStr">
        <is>
          <t>Basis</t>
        </is>
      </c>
      <c r="D29" s="4" t="inlineStr">
        <is>
          <t>Amount (£)</t>
        </is>
      </c>
    </row>
    <row r="30">
      <c r="A30" s="5" t="inlineStr">
        <is>
          <t>D1</t>
        </is>
      </c>
      <c r="B30" s="5" t="inlineStr">
        <is>
          <t>Free-month membership credits</t>
        </is>
      </c>
      <c r="C30" s="5" t="inlineStr">
        <is>
          <t>approx. 4,100 credits @ avg £41</t>
        </is>
      </c>
      <c r="D30" s="6" t="n">
        <v>102500</v>
      </c>
    </row>
    <row r="31">
      <c r="A31" s="5" t="inlineStr">
        <is>
          <t>D2</t>
        </is>
      </c>
      <c r="B31" s="5" t="inlineStr">
        <is>
          <t>Partner-gym access (pool closures)</t>
        </is>
      </c>
      <c r="C31" s="5" t="inlineStr">
        <is>
          <t>third-party access fees</t>
        </is>
      </c>
      <c r="D31" s="6" t="n">
        <v>44000</v>
      </c>
    </row>
    <row r="32">
      <c r="A32" s="5" t="inlineStr">
        <is>
          <t>D3</t>
        </is>
      </c>
      <c r="B32" s="5" t="inlineStr">
        <is>
          <t>Goodwill / retention offers</t>
        </is>
      </c>
      <c r="C32" s="5" t="inlineStr">
        <is>
          <t>discretionary retention vouchers</t>
        </is>
      </c>
      <c r="D32" s="6" t="n">
        <v>22000</v>
      </c>
    </row>
    <row r="33">
      <c r="C33" s="7" t="inlineStr">
        <is>
          <t>Sub-total D — member compensation</t>
        </is>
      </c>
      <c r="D33" s="8">
        <f>SUM(D30:D32)</f>
        <v/>
      </c>
    </row>
    <row r="35">
      <c r="C35" s="10" t="inlineStr">
        <is>
          <t>TOTAL CLAIM (excl. interest &amp; costs)</t>
        </is>
      </c>
      <c r="D35" s="11">
        <f>D9+D17+E26+D33</f>
        <v/>
      </c>
    </row>
    <row r="36">
      <c r="A36" s="2" t="inlineStr">
        <is>
          <t>Plus interest pursuant to s.35A Senior Courts Act 1981 (claimed at 4% over base) and costs, to be assessed.</t>
        </is>
      </c>
    </row>
    <row r="37">
      <c r="A37" s="2" t="inlineStr">
        <is>
          <t>Cross-check: remedial total ties to Scott Schedule (£1,756,900).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2026-06-25T15:13:53Z</dcterms:created>
  <dcterms:modified xmlns:dcterms="http://purl.org/dc/terms/" xmlns:xsi="http://www.w3.org/2001/XMLSchema-instance" xsi:type="dcterms:W3CDTF">2026-06-25T15:13:53Z</dcterms:modified>
</cp:coreProperties>
</file>