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p Tabl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<sst xmlns="http://schemas.openxmlformats.org/spreadsheetml/2006/main" count="31" uniqueCount="28">
  <si>
    <t xml:space="preserve">Project Atlas — Brampton Leisure Limited</t>
  </si>
  <si>
    <t xml:space="preserve">Capitalisation Table (fully diluted) — immediately prior to Completion</t>
  </si>
  <si>
    <t xml:space="preserve">Prepared by Whitfield Carter LLP  |  23 January 2026  |  All figures in GBP</t>
  </si>
  <si>
    <t xml:space="preserve">Key terms</t>
  </si>
  <si>
    <t xml:space="preserve">Total ordinary shares (£0.01 each), fully diluted</t>
  </si>
  <si>
    <t xml:space="preserve">Equity consideration (headline)</t>
  </si>
  <si>
    <t xml:space="preserve">Price per share</t>
  </si>
  <si>
    <t xml:space="preserve">Shareholder</t>
  </si>
  <si>
    <t xml:space="preserve">Class</t>
  </si>
  <si>
    <t xml:space="preserve">Shares</t>
  </si>
  <si>
    <t xml:space="preserve">% (FD)</t>
  </si>
  <si>
    <t xml:space="preserve">Total consideration</t>
  </si>
  <si>
    <t xml:space="preserve">Completion cash</t>
  </si>
  <si>
    <t xml:space="preserve">Retention (18m)</t>
  </si>
  <si>
    <t xml:space="preserve">Deferred (earn-out)</t>
  </si>
  <si>
    <t xml:space="preserve">Geoffrey Brampton (Founder &amp; Chairman)</t>
  </si>
  <si>
    <t xml:space="preserve">Ordinary</t>
  </si>
  <si>
    <t xml:space="preserve">Cynthia Brampton</t>
  </si>
  <si>
    <t xml:space="preserve">David Mercer (Chief Executive)</t>
  </si>
  <si>
    <t xml:space="preserve">Hartington Equity Partners LLP</t>
  </si>
  <si>
    <t xml:space="preserve">Management Sellers (EMI optionholders, pooled)</t>
  </si>
  <si>
    <t xml:space="preserve">Ordinary (on exercise)</t>
  </si>
  <si>
    <t xml:space="preserve">Total</t>
  </si>
  <si>
    <t xml:space="preserve">Notes:</t>
  </si>
  <si>
    <t xml:space="preserve">1. Price per share = headline equity consideration / fully diluted shares = £5.45.</t>
  </si>
  <si>
    <t xml:space="preserve">2. Per-share split: completion £5.00; retention £0.25; deferred £0.20 (FY2026 EBITDA earn-out).</t>
  </si>
  <si>
    <t xml:space="preserve">3. EMI options exercised conditional on Completion; net exercise proceeds reflected in distribution schedule.</t>
  </si>
  <si>
    <t xml:space="preserve">Source: Project Atlas SPA (Executed), cl. 3 (Consideration); Sellers' share register, 22 Jan 2026.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</si>
</sst>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\(#,##0\);\-"/>
    <numFmt numFmtId="166" formatCode="\£#,##0;&quot;(£&quot;#,##0\);\-"/>
    <numFmt numFmtId="167" formatCode="\£#,##0.00"/>
    <numFmt numFmtId="168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BDD7EE"/>
        <bgColor rgb="FF99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FB6CD"/>
      </left>
      <right style="thin">
        <color rgb="FF9FB6CD"/>
      </right>
      <top style="thin">
        <color rgb="FF9FB6CD"/>
      </top>
      <bottom style="thin">
        <color rgb="FF9FB6C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FB6CD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8" min="4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5" t="s">
        <v>4</v>
      </c>
      <c r="B6" s="6" t="n">
        <v>10000000</v>
      </c>
    </row>
    <row r="7" customFormat="false" ht="15" hidden="false" customHeight="false" outlineLevel="0" collapsed="false">
      <c r="A7" s="5" t="s">
        <v>5</v>
      </c>
      <c r="B7" s="7" t="n">
        <v>54500000</v>
      </c>
    </row>
    <row r="8" customFormat="false" ht="15" hidden="false" customHeight="false" outlineLevel="0" collapsed="false">
      <c r="A8" s="5" t="s">
        <v>6</v>
      </c>
      <c r="B8" s="8" t="n">
        <f aca="false">B7/B6</f>
        <v>5.45</v>
      </c>
    </row>
    <row r="10" customFormat="false" ht="15" hidden="false" customHeight="false" outlineLevel="0" collapsed="false">
      <c r="A10" s="9" t="s">
        <v>7</v>
      </c>
      <c r="B10" s="10" t="s">
        <v>8</v>
      </c>
      <c r="C10" s="10" t="s">
        <v>9</v>
      </c>
      <c r="D10" s="10" t="s">
        <v>10</v>
      </c>
      <c r="E10" s="10" t="s">
        <v>11</v>
      </c>
      <c r="F10" s="10" t="s">
        <v>12</v>
      </c>
      <c r="G10" s="10" t="s">
        <v>13</v>
      </c>
      <c r="H10" s="10" t="s">
        <v>14</v>
      </c>
    </row>
    <row r="11" customFormat="false" ht="15" hidden="false" customHeight="false" outlineLevel="0" collapsed="false">
      <c r="A11" s="11" t="s">
        <v>15</v>
      </c>
      <c r="B11" s="11" t="s">
        <v>16</v>
      </c>
      <c r="C11" s="12" t="n">
        <v>4200000</v>
      </c>
      <c r="D11" s="13" t="n">
        <f aca="false">C11/$B$6</f>
        <v>0.42</v>
      </c>
      <c r="E11" s="14" t="n">
        <f aca="false">C11*$B$8</f>
        <v>22890000</v>
      </c>
      <c r="F11" s="14" t="n">
        <f aca="false">C11*5</f>
        <v>21000000</v>
      </c>
      <c r="G11" s="14" t="n">
        <f aca="false">C11*0.25</f>
        <v>1050000</v>
      </c>
      <c r="H11" s="14" t="n">
        <f aca="false">E11-F11-G11</f>
        <v>840000</v>
      </c>
    </row>
    <row r="12" customFormat="false" ht="15" hidden="false" customHeight="false" outlineLevel="0" collapsed="false">
      <c r="A12" s="11" t="s">
        <v>17</v>
      </c>
      <c r="B12" s="11" t="s">
        <v>16</v>
      </c>
      <c r="C12" s="12" t="n">
        <v>1800000</v>
      </c>
      <c r="D12" s="13" t="n">
        <f aca="false">C12/$B$6</f>
        <v>0.18</v>
      </c>
      <c r="E12" s="14" t="n">
        <f aca="false">C12*$B$8</f>
        <v>9810000</v>
      </c>
      <c r="F12" s="14" t="n">
        <f aca="false">C12*5</f>
        <v>9000000</v>
      </c>
      <c r="G12" s="14" t="n">
        <f aca="false">C12*0.25</f>
        <v>450000</v>
      </c>
      <c r="H12" s="14" t="n">
        <f aca="false">E12-F12-G12</f>
        <v>360000</v>
      </c>
    </row>
    <row r="13" customFormat="false" ht="15" hidden="false" customHeight="false" outlineLevel="0" collapsed="false">
      <c r="A13" s="11" t="s">
        <v>18</v>
      </c>
      <c r="B13" s="11" t="s">
        <v>16</v>
      </c>
      <c r="C13" s="12" t="n">
        <v>800000</v>
      </c>
      <c r="D13" s="13" t="n">
        <f aca="false">C13/$B$6</f>
        <v>0.08</v>
      </c>
      <c r="E13" s="14" t="n">
        <f aca="false">C13*$B$8</f>
        <v>4360000</v>
      </c>
      <c r="F13" s="14" t="n">
        <f aca="false">C13*5</f>
        <v>4000000</v>
      </c>
      <c r="G13" s="14" t="n">
        <f aca="false">C13*0.25</f>
        <v>200000</v>
      </c>
      <c r="H13" s="14" t="n">
        <f aca="false">E13-F13-G13</f>
        <v>160000</v>
      </c>
    </row>
    <row r="14" customFormat="false" ht="15" hidden="false" customHeight="false" outlineLevel="0" collapsed="false">
      <c r="A14" s="11" t="s">
        <v>19</v>
      </c>
      <c r="B14" s="11" t="s">
        <v>16</v>
      </c>
      <c r="C14" s="12" t="n">
        <v>2500000</v>
      </c>
      <c r="D14" s="13" t="n">
        <f aca="false">C14/$B$6</f>
        <v>0.25</v>
      </c>
      <c r="E14" s="14" t="n">
        <f aca="false">C14*$B$8</f>
        <v>13625000</v>
      </c>
      <c r="F14" s="14" t="n">
        <f aca="false">C14*5</f>
        <v>12500000</v>
      </c>
      <c r="G14" s="14" t="n">
        <f aca="false">C14*0.25</f>
        <v>625000</v>
      </c>
      <c r="H14" s="14" t="n">
        <f aca="false">E14-F14-G14</f>
        <v>500000</v>
      </c>
    </row>
    <row r="15" customFormat="false" ht="15" hidden="false" customHeight="false" outlineLevel="0" collapsed="false">
      <c r="A15" s="11" t="s">
        <v>20</v>
      </c>
      <c r="B15" s="11" t="s">
        <v>21</v>
      </c>
      <c r="C15" s="12" t="n">
        <v>700000</v>
      </c>
      <c r="D15" s="13" t="n">
        <f aca="false">C15/$B$6</f>
        <v>0.07</v>
      </c>
      <c r="E15" s="14" t="n">
        <f aca="false">C15*$B$8</f>
        <v>3815000</v>
      </c>
      <c r="F15" s="14" t="n">
        <f aca="false">C15*5</f>
        <v>3500000</v>
      </c>
      <c r="G15" s="14" t="n">
        <f aca="false">C15*0.25</f>
        <v>175000</v>
      </c>
      <c r="H15" s="14" t="n">
        <f aca="false">E15-F15-G15</f>
        <v>140000</v>
      </c>
    </row>
    <row r="16" customFormat="false" ht="15" hidden="false" customHeight="false" outlineLevel="0" collapsed="false">
      <c r="A16" s="15" t="s">
        <v>22</v>
      </c>
      <c r="B16" s="15"/>
      <c r="C16" s="16" t="n">
        <f aca="false">SUM(C11:C15)</f>
        <v>10000000</v>
      </c>
      <c r="D16" s="17" t="n">
        <f aca="false">SUM(D11:D15)</f>
        <v>1</v>
      </c>
      <c r="E16" s="18" t="n">
        <f aca="false">SUM(E11:E15)</f>
        <v>54500000</v>
      </c>
      <c r="F16" s="18" t="n">
        <f aca="false">SUM(F11:F15)</f>
        <v>50000000</v>
      </c>
      <c r="G16" s="18" t="n">
        <f aca="false">SUM(G11:G15)</f>
        <v>2500000</v>
      </c>
      <c r="H16" s="18" t="n">
        <f aca="false">SUM(H11:H15)</f>
        <v>2000000</v>
      </c>
    </row>
    <row r="18" customFormat="false" ht="15" hidden="false" customHeight="false" outlineLevel="0" collapsed="false">
      <c r="A18" s="4" t="s">
        <v>23</v>
      </c>
    </row>
    <row r="19" customFormat="false" ht="15" hidden="false" customHeight="false" outlineLevel="0" collapsed="false">
      <c r="A19" s="19" t="s">
        <v>24</v>
      </c>
    </row>
    <row r="20" customFormat="false" ht="15" hidden="false" customHeight="false" outlineLevel="0" collapsed="false">
      <c r="A20" s="19" t="s">
        <v>25</v>
      </c>
    </row>
    <row r="21" customFormat="false" ht="15" hidden="false" customHeight="false" outlineLevel="0" collapsed="false">
      <c r="A21" s="19" t="s">
        <v>26</v>
      </c>
    </row>
    <row r="22" customFormat="false" ht="15" hidden="false" customHeight="false" outlineLevel="0" collapsed="false">
      <c r="A22" s="3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2026-06-10T22:08:10Z</dcterms:created>
  <dc:creator>openpyxl</dc:creator>
  <dc:description/>
  <dc:language>en-US</dc:language>
  <cp:lastModifiedBy/>
  <dcterms:modified xsi:type="dcterms:W3CDTF">2026-06-10T22:08:10Z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