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<sst xmlns="http://schemas.openxmlformats.org/spreadsheetml/2006/main" count="34" uniqueCount="34">
  <si>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Project Atlas — Completion Funds Flow Statement</t>
  </si>
  <si>
    <t xml:space="preserve">Acquisition of the entire issued share capital of Brampton Leisure Limited</t>
  </si>
  <si>
    <t xml:space="preserve">Completion: 23 January 2026  |  Prepared by Whitfield Carter LLP  |  GBP</t>
  </si>
  <si>
    <t xml:space="preserve">A. Enterprise value to equity value bridge</t>
  </si>
  <si>
    <t xml:space="preserve">Enterprise value (agreed)</t>
  </si>
  <si>
    <t xml:space="preserve">less: Bank debt (Yorkshire Commercial Bank facility)</t>
  </si>
  <si>
    <t xml:space="preserve">add: Cash and cash equivalents at Completion</t>
  </si>
  <si>
    <t xml:space="preserve">Net debt</t>
  </si>
  <si>
    <t xml:space="preserve">less/add: Completion working capital adjustment vs target</t>
  </si>
  <si>
    <t xml:space="preserve">Equity value (headline consideration)</t>
  </si>
  <si>
    <t xml:space="preserve">B. Sources of funds at Completion (Buyer: Kingsford Group Limited)</t>
  </si>
  <si>
    <t xml:space="preserve">Completion cash consideration</t>
  </si>
  <si>
    <t xml:space="preserve">Retention amount (to Escrow Account)</t>
  </si>
  <si>
    <t xml:space="preserve">Repayment of Yorkshire Commercial Bank facility + accrued interest</t>
  </si>
  <si>
    <t xml:space="preserve">Total sources (paid by Buyer at Completion)</t>
  </si>
  <si>
    <t xml:space="preserve">C. Application of funds</t>
  </si>
  <si>
    <t xml:space="preserve">To Sellers (via Harland Vesey LLP client account) — completion cash</t>
  </si>
  <si>
    <t xml:space="preserve">To Escrow Agent (Wycombe Trust Company) — Retention Account</t>
  </si>
  <si>
    <t xml:space="preserve">To Yorkshire Commercial Bank — facility redemption</t>
  </si>
  <si>
    <t xml:space="preserve">Total application</t>
  </si>
  <si>
    <t xml:space="preserve">Check (sources less uses, must be nil)</t>
  </si>
  <si>
    <t xml:space="preserve">D. Distribution of consideration to Sellers (per SPA Schedule 1)</t>
  </si>
  <si>
    <t xml:space="preserve">Seller</t>
  </si>
  <si>
    <t xml:space="preserve">Shares</t>
  </si>
  <si>
    <t xml:space="preserve">Completion cash</t>
  </si>
  <si>
    <t xml:space="preserve">Retention</t>
  </si>
  <si>
    <t xml:space="preserve">Deferred</t>
  </si>
  <si>
    <t xml:space="preserve">Geoffrey Brampton</t>
  </si>
  <si>
    <t xml:space="preserve">Cynthia Brampton</t>
  </si>
  <si>
    <t xml:space="preserve">David Mercer</t>
  </si>
  <si>
    <t xml:space="preserve">Hartington Equity Partners LLP</t>
  </si>
  <si>
    <t xml:space="preserve">Management Sellers (pooled)</t>
  </si>
  <si>
    <t xml:space="preserve">Total</t>
  </si>
  <si>
    <t xml:space="preserve">Deferred consideration of £2,000,000 in aggregate is payable following determination of FY2026 Adjusted EBITDA (see SPA cl. 4).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</si>
</sst>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DCE5"/>
        <bgColor rgb="FFBDD7EE"/>
      </patternFill>
    </fill>
    <fill>
      <patternFill patternType="solid">
        <fgColor rgb="FFBDD7EE"/>
        <bgColor rgb="FFD6DCE5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6CD"/>
      </left>
      <right style="thin">
        <color rgb="FF9FB6CD"/>
      </right>
      <top style="thin">
        <color rgb="FF9FB6CD"/>
      </top>
      <bottom style="thin">
        <color rgb="FF9FB6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6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</row>
    <row r="6" customFormat="false" ht="15" hidden="false" customHeight="false" outlineLevel="0" collapsed="false">
      <c r="A6" s="5" t="s">
        <v>4</v>
      </c>
      <c r="B6" s="6" t="n">
        <v>62000000</v>
      </c>
    </row>
    <row r="7" customFormat="false" ht="15" hidden="false" customHeight="false" outlineLevel="0" collapsed="false">
      <c r="A7" s="5" t="s">
        <v>5</v>
      </c>
      <c r="B7" s="6" t="n">
        <v>-8200000</v>
      </c>
    </row>
    <row r="8" customFormat="false" ht="15" hidden="false" customHeight="false" outlineLevel="0" collapsed="false">
      <c r="A8" s="5" t="s">
        <v>6</v>
      </c>
      <c r="B8" s="6" t="n">
        <v>700000</v>
      </c>
    </row>
    <row r="9" customFormat="false" ht="15" hidden="false" customHeight="false" outlineLevel="0" collapsed="false">
      <c r="A9" s="5" t="s">
        <v>7</v>
      </c>
      <c r="B9" s="7" t="n">
        <f aca="false">B7+B8</f>
        <v>-7500000</v>
      </c>
    </row>
    <row r="10" customFormat="false" ht="15" hidden="false" customHeight="false" outlineLevel="0" collapsed="false">
      <c r="A10" s="5" t="s">
        <v>8</v>
      </c>
      <c r="B10" s="6" t="n">
        <v>0</v>
      </c>
    </row>
    <row r="11" customFormat="false" ht="15" hidden="false" customHeight="false" outlineLevel="0" collapsed="false">
      <c r="A11" s="8" t="s">
        <v>9</v>
      </c>
      <c r="B11" s="9" t="n">
        <f aca="false">B6+B7+B8+B10</f>
        <v>54500000</v>
      </c>
    </row>
    <row r="13" customFormat="false" ht="15" hidden="false" customHeight="false" outlineLevel="0" collapsed="false">
      <c r="A13" s="4" t="s">
        <v>10</v>
      </c>
      <c r="B13" s="4"/>
    </row>
    <row r="14" customFormat="false" ht="15" hidden="false" customHeight="false" outlineLevel="0" collapsed="false">
      <c r="A14" s="5" t="s">
        <v>11</v>
      </c>
      <c r="B14" s="6" t="n">
        <v>50000000</v>
      </c>
    </row>
    <row r="15" customFormat="false" ht="15" hidden="false" customHeight="false" outlineLevel="0" collapsed="false">
      <c r="A15" s="5" t="s">
        <v>12</v>
      </c>
      <c r="B15" s="6" t="n">
        <v>2500000</v>
      </c>
    </row>
    <row r="16" customFormat="false" ht="15" hidden="false" customHeight="false" outlineLevel="0" collapsed="false">
      <c r="A16" s="5" t="s">
        <v>13</v>
      </c>
      <c r="B16" s="6" t="n">
        <v>8200000</v>
      </c>
    </row>
    <row r="17" customFormat="false" ht="15" hidden="false" customHeight="false" outlineLevel="0" collapsed="false">
      <c r="A17" s="8" t="s">
        <v>14</v>
      </c>
      <c r="B17" s="9" t="n">
        <f aca="false">SUM(B14:B16)</f>
        <v>60700000</v>
      </c>
    </row>
    <row r="19" customFormat="false" ht="15" hidden="false" customHeight="false" outlineLevel="0" collapsed="false">
      <c r="A19" s="4" t="s">
        <v>15</v>
      </c>
      <c r="B19" s="4"/>
    </row>
    <row r="20" customFormat="false" ht="15" hidden="false" customHeight="false" outlineLevel="0" collapsed="false">
      <c r="A20" s="5" t="s">
        <v>16</v>
      </c>
      <c r="B20" s="7" t="n">
        <v>50000000</v>
      </c>
    </row>
    <row r="21" customFormat="false" ht="15" hidden="false" customHeight="false" outlineLevel="0" collapsed="false">
      <c r="A21" s="5" t="s">
        <v>17</v>
      </c>
      <c r="B21" s="7" t="n">
        <v>2500000</v>
      </c>
    </row>
    <row r="22" customFormat="false" ht="15" hidden="false" customHeight="false" outlineLevel="0" collapsed="false">
      <c r="A22" s="5" t="s">
        <v>18</v>
      </c>
      <c r="B22" s="7" t="n">
        <v>8200000</v>
      </c>
    </row>
    <row r="23" customFormat="false" ht="15" hidden="false" customHeight="false" outlineLevel="0" collapsed="false">
      <c r="A23" s="8" t="s">
        <v>19</v>
      </c>
      <c r="B23" s="9" t="n">
        <f aca="false">SUM(B20:B22)</f>
        <v>60700000</v>
      </c>
    </row>
    <row r="24" customFormat="false" ht="15" hidden="false" customHeight="false" outlineLevel="0" collapsed="false">
      <c r="A24" s="10" t="s">
        <v>20</v>
      </c>
      <c r="B24" s="11" t="n">
        <f aca="false">B17-B23</f>
        <v>0</v>
      </c>
    </row>
    <row r="26" customFormat="false" ht="15" hidden="false" customHeight="false" outlineLevel="0" collapsed="false">
      <c r="A26" s="4" t="s">
        <v>21</v>
      </c>
      <c r="B26" s="4"/>
      <c r="C26" s="4"/>
      <c r="D26" s="4"/>
      <c r="E26" s="4"/>
    </row>
    <row r="27" customFormat="false" ht="15" hidden="false" customHeight="false" outlineLevel="0" collapsed="false">
      <c r="A27" s="12" t="s">
        <v>22</v>
      </c>
      <c r="B27" s="13" t="s">
        <v>23</v>
      </c>
      <c r="C27" s="13" t="s">
        <v>24</v>
      </c>
      <c r="D27" s="13" t="s">
        <v>25</v>
      </c>
      <c r="E27" s="13" t="s">
        <v>26</v>
      </c>
    </row>
    <row r="28" customFormat="false" ht="15" hidden="false" customHeight="false" outlineLevel="0" collapsed="false">
      <c r="A28" s="5" t="s">
        <v>27</v>
      </c>
      <c r="B28" s="14" t="n">
        <v>4200000</v>
      </c>
      <c r="C28" s="7" t="n">
        <f aca="false">B28*5</f>
        <v>21000000</v>
      </c>
      <c r="D28" s="7" t="n">
        <f aca="false">B28*0.25</f>
        <v>1050000</v>
      </c>
      <c r="E28" s="7" t="n">
        <f aca="false">B28*0.2</f>
        <v>840000</v>
      </c>
    </row>
    <row r="29" customFormat="false" ht="15" hidden="false" customHeight="false" outlineLevel="0" collapsed="false">
      <c r="A29" s="5" t="s">
        <v>28</v>
      </c>
      <c r="B29" s="14" t="n">
        <v>1800000</v>
      </c>
      <c r="C29" s="7" t="n">
        <f aca="false">B29*5</f>
        <v>9000000</v>
      </c>
      <c r="D29" s="7" t="n">
        <f aca="false">B29*0.25</f>
        <v>450000</v>
      </c>
      <c r="E29" s="7" t="n">
        <f aca="false">B29*0.2</f>
        <v>360000</v>
      </c>
    </row>
    <row r="30" customFormat="false" ht="15" hidden="false" customHeight="false" outlineLevel="0" collapsed="false">
      <c r="A30" s="5" t="s">
        <v>29</v>
      </c>
      <c r="B30" s="14" t="n">
        <v>800000</v>
      </c>
      <c r="C30" s="7" t="n">
        <f aca="false">B30*5</f>
        <v>4000000</v>
      </c>
      <c r="D30" s="7" t="n">
        <f aca="false">B30*0.25</f>
        <v>200000</v>
      </c>
      <c r="E30" s="7" t="n">
        <f aca="false">B30*0.2</f>
        <v>160000</v>
      </c>
    </row>
    <row r="31" customFormat="false" ht="15" hidden="false" customHeight="false" outlineLevel="0" collapsed="false">
      <c r="A31" s="5" t="s">
        <v>30</v>
      </c>
      <c r="B31" s="14" t="n">
        <v>2500000</v>
      </c>
      <c r="C31" s="7" t="n">
        <f aca="false">B31*5</f>
        <v>12500000</v>
      </c>
      <c r="D31" s="7" t="n">
        <f aca="false">B31*0.25</f>
        <v>625000</v>
      </c>
      <c r="E31" s="7" t="n">
        <f aca="false">B31*0.2</f>
        <v>500000</v>
      </c>
    </row>
    <row r="32" customFormat="false" ht="15" hidden="false" customHeight="false" outlineLevel="0" collapsed="false">
      <c r="A32" s="5" t="s">
        <v>31</v>
      </c>
      <c r="B32" s="14" t="n">
        <v>700000</v>
      </c>
      <c r="C32" s="7" t="n">
        <f aca="false">B32*5</f>
        <v>3500000</v>
      </c>
      <c r="D32" s="7" t="n">
        <f aca="false">B32*0.25</f>
        <v>175000</v>
      </c>
      <c r="E32" s="7" t="n">
        <f aca="false">B32*0.2</f>
        <v>140000</v>
      </c>
    </row>
    <row r="33" customFormat="false" ht="15" hidden="false" customHeight="false" outlineLevel="0" collapsed="false">
      <c r="A33" s="8" t="s">
        <v>32</v>
      </c>
      <c r="B33" s="15" t="n">
        <f aca="false">SUM(B28:B32)</f>
        <v>10000000</v>
      </c>
      <c r="C33" s="9" t="n">
        <f aca="false">SUM(C28:C32)</f>
        <v>50000000</v>
      </c>
      <c r="D33" s="9" t="n">
        <f aca="false">SUM(D28:D32)</f>
        <v>2500000</v>
      </c>
      <c r="E33" s="9" t="n">
        <f aca="false">SUM(E28:E32)</f>
        <v>2000000</v>
      </c>
    </row>
    <row r="35" customFormat="false" ht="15" hidden="false" customHeight="false" outlineLevel="0" collapsed="false">
      <c r="A35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2026-06-10T22:08:10Z</dcterms:created>
  <dc:creator>openpyxl</dc:creator>
  <dc:description/>
  <dc:language>en-US</dc:language>
  <cp:lastModifiedBy/>
  <dcterms:modified xsi:type="dcterms:W3CDTF">2026-06-10T22:08:10Z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