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hedule of Los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<sst xmlns="http://schemas.openxmlformats.org/spreadsheetml/2006/main" count="65" uniqueCount="65">
  <si>
    <t xml:space="preserve">Kingsford Group Limited — Foxley v Kingsford Group Limited</t>
  </si>
  <si>
    <t xml:space="preserve">Claimant's Schedule of Loss  |  ET Case No. 2206543/2026  |  Prepared 18 March 2026</t>
  </si>
  <si>
    <t xml:space="preserve">All figures in GBP. Tribunal: London Central. Claimant: Adrian Foxley (former Group Operations Director).</t>
  </si>
  <si>
    <t xml:space="preserve">Key assumptions (inputs)</t>
  </si>
  <si>
    <t xml:space="preserve">Gross annual salary at dismissal (£)</t>
  </si>
  <si>
    <t xml:space="preserve">Source: Contract of employment dated 4 Sep 2019, cl.5</t>
  </si>
  <si>
    <t xml:space="preserve">Annual employer pension contribution (£)</t>
  </si>
  <si>
    <t xml:space="preserve">Source: 10% of salary - contract cl.7</t>
  </si>
  <si>
    <t xml:space="preserve">Annual car allowance / benefits value (£)</t>
  </si>
  <si>
    <t xml:space="preserve">Source: Car allowance £9,600 + PMI £1,800</t>
  </si>
  <si>
    <t xml:space="preserve">Annual bonus (3-yr average, £)</t>
  </si>
  <si>
    <t xml:space="preserve">Source: FY23-FY25 bonus history - HR records</t>
  </si>
  <si>
    <t xml:space="preserve">Gross weekly pay (statutory, capped) (£)</t>
  </si>
  <si>
    <t xml:space="preserve">Source: Statutory cap from 6 Apr 2025</t>
  </si>
  <si>
    <t xml:space="preserve">Complete years of service</t>
  </si>
  <si>
    <t xml:space="preserve">Source: Sep 2019 - Dec 2025</t>
  </si>
  <si>
    <t xml:space="preserve">Months to mitigate (claimant's case)</t>
  </si>
  <si>
    <t xml:space="preserve">Source: Estimate of time to comparable role</t>
  </si>
  <si>
    <t xml:space="preserve">New role expected salary (£)</t>
  </si>
  <si>
    <t xml:space="preserve">Source: Recruiter estimate - partial mitigation</t>
  </si>
  <si>
    <t xml:space="preserve">Heads of claim</t>
  </si>
  <si>
    <t xml:space="preserve">Head of claim</t>
  </si>
  <si>
    <t xml:space="preserve">Basis</t>
  </si>
  <si>
    <t xml:space="preserve">Period / multiplier</t>
  </si>
  <si>
    <t xml:space="preserve">Amount (£)</t>
  </si>
  <si>
    <t xml:space="preserve">Notes</t>
  </si>
  <si>
    <t xml:space="preserve">1. Basic award (unfair dismissal)</t>
  </si>
  <si>
    <t xml:space="preserve">Statutory formula</t>
  </si>
  <si>
    <t xml:space="preserve">6 yrs x 1.5 wk x cap</t>
  </si>
  <si>
    <t xml:space="preserve">s.119 ERA 1996; age 41+ band; capped week</t>
  </si>
  <si>
    <t xml:space="preserve">2a. Net loss of earnings to date of hearing</t>
  </si>
  <si>
    <t xml:space="preserve">Net pay x weeks</t>
  </si>
  <si>
    <t xml:space="preserve">16 weeks since dismissal</t>
  </si>
  <si>
    <t xml:space="preserve">Dismissal 19 Dec 2025 to assumed hearing</t>
  </si>
  <si>
    <t xml:space="preserve">2b. Future loss of earnings (to mitigation)</t>
  </si>
  <si>
    <t xml:space="preserve">Net shortfall x months</t>
  </si>
  <si>
    <t xml:space="preserve">9 months</t>
  </si>
  <si>
    <t xml:space="preserve">Shortfall vs expected new role, net</t>
  </si>
  <si>
    <t xml:space="preserve">2c. Loss of pension contributions</t>
  </si>
  <si>
    <t xml:space="preserve">Employer contrib</t>
  </si>
  <si>
    <t xml:space="preserve">16 wks + 9 mths shortfall</t>
  </si>
  <si>
    <t xml:space="preserve">Simplified contributions method</t>
  </si>
  <si>
    <t xml:space="preserve">2d. Loss of benefits (car, PMI)</t>
  </si>
  <si>
    <t xml:space="preserve">Annual x period</t>
  </si>
  <si>
    <t xml:space="preserve">~13 months</t>
  </si>
  <si>
    <t xml:space="preserve">Car allowance + private medical insurance</t>
  </si>
  <si>
    <t xml:space="preserve">2e. Loss of bonus</t>
  </si>
  <si>
    <t xml:space="preserve">3-yr avg bonus</t>
  </si>
  <si>
    <t xml:space="preserve">1 x annual</t>
  </si>
  <si>
    <t xml:space="preserve">FY26 bonus claimant would have earned</t>
  </si>
  <si>
    <t xml:space="preserve">3. ACAS Code uplift (grievance)</t>
  </si>
  <si>
    <t xml:space="preserve">Up to 25%</t>
  </si>
  <si>
    <t xml:space="preserve">15% claimed</t>
  </si>
  <si>
    <t xml:space="preserve">Alleged failure to follow grievance procedure</t>
  </si>
  <si>
    <t xml:space="preserve">4. Injury to feelings (s.47B detriment)</t>
  </si>
  <si>
    <t xml:space="preserve">Vento middle band</t>
  </si>
  <si>
    <t xml:space="preserve">Mid-point</t>
  </si>
  <si>
    <t xml:space="preserve">Protected disclosure detriment - Vento middle band</t>
  </si>
  <si>
    <t xml:space="preserve">5. Loss of statutory rights</t>
  </si>
  <si>
    <t xml:space="preserve">Conventional sum</t>
  </si>
  <si>
    <t xml:space="preserve">Fixed</t>
  </si>
  <si>
    <t xml:space="preserve">Conventional award</t>
  </si>
  <si>
    <t xml:space="preserve">Sub-total: compensatory (heads 2a-2e)</t>
  </si>
  <si>
    <t xml:space="preserve">TOTAL VALUE OF CLAIM (gross)</t>
  </si>
  <si>
    <t xml:space="preserve">Prepared by Ashworth Quinn LLP for the Claimant. Without prejudice to the right to amend. Subject to the statutory cap on the compensatory award, save the protected disclosure claim which is uncapped.</t>
  </si>
</sst>
</file>

<file path=xl/styles.xml><?xml version="1.0" encoding="utf-8"?>
<styleSheet xmlns="http://schemas.openxmlformats.org/spreadsheetml/2006/main">
  <numFmts count="3">
    <numFmt numFmtId="164" formatCode="General"/>
    <numFmt numFmtId="165" formatCode="\£#,##0;&quot;(£&quot;#,##0\);\-"/>
    <numFmt numFmtId="166" formatCode="0"/>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1"/>
      <color rgb="FF1F3864"/>
      <name val="Arial"/>
      <family val="0"/>
      <charset val="1"/>
    </font>
    <font>
      <sz val="10"/>
      <name val="Arial"/>
      <family val="0"/>
      <charset val="1"/>
    </font>
    <font>
      <sz val="10"/>
      <color rgb="FF0000FF"/>
      <name val="Arial"/>
      <family val="0"/>
      <charset val="1"/>
    </font>
    <font>
      <i val="true"/>
      <sz val="8"/>
      <color rgb="FF808080"/>
      <name val="Arial"/>
      <family val="0"/>
      <charset val="1"/>
    </font>
    <font>
      <b val="true"/>
      <sz val="11"/>
      <color rgb="FFFFFFFF"/>
      <name val="Arial"/>
      <family val="0"/>
      <charset val="1"/>
    </font>
    <font>
      <sz val="10"/>
      <color rgb="FF000000"/>
      <name val="Arial"/>
      <family val="0"/>
      <charset val="1"/>
    </font>
    <font>
      <b val="true"/>
      <sz val="10"/>
      <name val="Arial"/>
      <family val="0"/>
      <charset val="1"/>
    </font>
    <font>
      <b val="true"/>
      <sz val="10"/>
      <color rgb="FF000000"/>
      <name val="Arial"/>
      <family val="0"/>
      <charset val="1"/>
    </font>
    <font>
      <b val="true"/>
      <sz val="11"/>
      <name val="Arial"/>
      <family val="0"/>
      <charset val="1"/>
    </font>
  </fonts>
  <fills count="6">
    <fill>
      <patternFill patternType="none"/>
    </fill>
    <fill>
      <patternFill patternType="gray125"/>
    </fill>
    <fill>
      <patternFill patternType="solid">
        <fgColor rgb="FFFFFF00"/>
        <bgColor rgb="FFFFFF00"/>
      </patternFill>
    </fill>
    <fill>
      <patternFill patternType="solid">
        <fgColor rgb="FF1F3864"/>
        <bgColor rgb="FF333333"/>
      </patternFill>
    </fill>
    <fill>
      <patternFill patternType="solid">
        <fgColor rgb="FFD6DCE4"/>
        <bgColor rgb="FFBDD7EE"/>
      </patternFill>
    </fill>
    <fill>
      <patternFill patternType="solid">
        <fgColor rgb="FFBDD7EE"/>
        <bgColor rgb="FFD6DCE4"/>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left" vertical="bottom" textRotation="0" wrapText="false" indent="0" shrinkToFit="false"/>
      <protection locked="true" hidden="false"/>
    </xf>
    <xf numFmtId="165" fontId="8" fillId="2"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6" fontId="8" fillId="2" borderId="1" xfId="0" applyFont="true" applyBorder="true" applyAlignment="true" applyProtection="false">
      <alignment horizontal="right" vertical="bottom" textRotation="0" wrapText="false" indent="0" shrinkToFit="false"/>
      <protection locked="true" hidden="false"/>
    </xf>
    <xf numFmtId="164" fontId="10" fillId="3" borderId="1" xfId="0" applyFont="true" applyBorder="true" applyAlignment="true" applyProtection="false">
      <alignment horizontal="center" vertical="center" textRotation="0" wrapText="true" indent="0" shrinkToFit="false"/>
      <protection locked="true" hidden="false"/>
    </xf>
    <xf numFmtId="165" fontId="11" fillId="0"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right" vertical="bottom" textRotation="0" wrapText="false" indent="0" shrinkToFit="false"/>
      <protection locked="true" hidden="false"/>
    </xf>
    <xf numFmtId="164" fontId="12" fillId="4" borderId="1" xfId="0" applyFont="true" applyBorder="true" applyAlignment="true" applyProtection="false">
      <alignment horizontal="left" vertical="bottom" textRotation="0" wrapText="false" indent="0" shrinkToFit="false"/>
      <protection locked="true" hidden="false"/>
    </xf>
    <xf numFmtId="165" fontId="13" fillId="4" borderId="1" xfId="0" applyFont="true" applyBorder="true" applyAlignment="true" applyProtection="false">
      <alignment horizontal="right" vertical="bottom" textRotation="0" wrapText="false" indent="0" shrinkToFit="false"/>
      <protection locked="true" hidden="false"/>
    </xf>
    <xf numFmtId="164" fontId="14" fillId="5" borderId="1" xfId="0" applyFont="true" applyBorder="true" applyAlignment="true" applyProtection="false">
      <alignment horizontal="left" vertical="bottom" textRotation="0" wrapText="false" indent="0" shrinkToFit="false"/>
      <protection locked="true" hidden="false"/>
    </xf>
    <xf numFmtId="165" fontId="14" fillId="5" borderId="1" xfId="0" applyFont="true" applyBorder="true" applyAlignment="true" applyProtection="false">
      <alignment horizontal="right"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6DCE4"/>
      <rgbColor rgb="FF808080"/>
      <rgbColor rgb="FF9999FF"/>
      <rgbColor rgb="FF993366"/>
      <rgbColor rgb="FFFFFFCC"/>
      <rgbColor rgb="FFCCFFFF"/>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 collapsed="false" customWidth="true" hidden="false" outlineLevel="0" max="3" min="2" style="0" width="16"/>
    <col collapsed="false" customWidth="true" hidden="false" outlineLevel="0" max="4" min="4" style="0" width="14"/>
    <col collapsed="false" customWidth="true" hidden="false" outlineLevel="0" max="5" min="5" style="0" width="16"/>
    <col collapsed="false" customWidth="true" hidden="false" outlineLevel="0" max="6" min="6" style="0" width="3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15" hidden="false" customHeight="false" outlineLevel="0" collapsed="false">
      <c r="A5" s="3" t="s">
        <v>3</v>
      </c>
    </row>
    <row r="6" customFormat="false" ht="15" hidden="false" customHeight="false" outlineLevel="0" collapsed="false">
      <c r="A6" s="4" t="s">
        <v>4</v>
      </c>
      <c r="B6" s="5" t="n">
        <v>178000</v>
      </c>
      <c r="F6" s="6" t="s">
        <v>5</v>
      </c>
    </row>
    <row r="7" customFormat="false" ht="15" hidden="false" customHeight="false" outlineLevel="0" collapsed="false">
      <c r="A7" s="4" t="s">
        <v>6</v>
      </c>
      <c r="B7" s="5" t="n">
        <v>17800</v>
      </c>
      <c r="F7" s="6" t="s">
        <v>7</v>
      </c>
    </row>
    <row r="8" customFormat="false" ht="15" hidden="false" customHeight="false" outlineLevel="0" collapsed="false">
      <c r="A8" s="4" t="s">
        <v>8</v>
      </c>
      <c r="B8" s="5" t="n">
        <v>11400</v>
      </c>
      <c r="F8" s="6" t="s">
        <v>9</v>
      </c>
    </row>
    <row r="9" customFormat="false" ht="15" hidden="false" customHeight="false" outlineLevel="0" collapsed="false">
      <c r="A9" s="4" t="s">
        <v>10</v>
      </c>
      <c r="B9" s="5" t="n">
        <v>42000</v>
      </c>
      <c r="F9" s="6" t="s">
        <v>11</v>
      </c>
    </row>
    <row r="10" customFormat="false" ht="15" hidden="false" customHeight="false" outlineLevel="0" collapsed="false">
      <c r="A10" s="4" t="s">
        <v>12</v>
      </c>
      <c r="B10" s="5" t="n">
        <v>700</v>
      </c>
      <c r="F10" s="6" t="s">
        <v>13</v>
      </c>
    </row>
    <row r="11" customFormat="false" ht="15" hidden="false" customHeight="false" outlineLevel="0" collapsed="false">
      <c r="A11" s="4" t="s">
        <v>14</v>
      </c>
      <c r="B11" s="7" t="n">
        <v>6</v>
      </c>
      <c r="F11" s="6" t="s">
        <v>15</v>
      </c>
    </row>
    <row r="12" customFormat="false" ht="15" hidden="false" customHeight="false" outlineLevel="0" collapsed="false">
      <c r="A12" s="4" t="s">
        <v>16</v>
      </c>
      <c r="B12" s="7" t="n">
        <v>9</v>
      </c>
      <c r="F12" s="6" t="s">
        <v>17</v>
      </c>
    </row>
    <row r="13" customFormat="false" ht="15" hidden="false" customHeight="false" outlineLevel="0" collapsed="false">
      <c r="A13" s="4" t="s">
        <v>18</v>
      </c>
      <c r="B13" s="5" t="n">
        <v>132000</v>
      </c>
      <c r="F13" s="6" t="s">
        <v>19</v>
      </c>
    </row>
    <row r="15" customFormat="false" ht="15" hidden="false" customHeight="false" outlineLevel="0" collapsed="false">
      <c r="A15" s="3" t="s">
        <v>20</v>
      </c>
    </row>
    <row r="16" customFormat="false" ht="26.85" hidden="false" customHeight="false" outlineLevel="0" collapsed="false">
      <c r="A16" s="8" t="s">
        <v>21</v>
      </c>
      <c r="B16" s="8" t="s">
        <v>22</v>
      </c>
      <c r="C16" s="8" t="s">
        <v>23</v>
      </c>
      <c r="D16" s="8" t="s">
        <v>24</v>
      </c>
      <c r="E16" s="8" t="s">
        <v>25</v>
      </c>
    </row>
    <row r="17" customFormat="false" ht="28.35" hidden="false" customHeight="false" outlineLevel="0" collapsed="false">
      <c r="A17" s="4" t="s">
        <v>26</v>
      </c>
      <c r="B17" s="4" t="s">
        <v>27</v>
      </c>
      <c r="C17" s="4" t="s">
        <v>28</v>
      </c>
      <c r="D17" s="9" t="n">
        <f aca="false">B11*1.5*B10</f>
        <v>6300</v>
      </c>
      <c r="E17" s="10" t="s">
        <v>29</v>
      </c>
    </row>
    <row r="18" customFormat="false" ht="28.35" hidden="false" customHeight="false" outlineLevel="0" collapsed="false">
      <c r="A18" s="4" t="s">
        <v>30</v>
      </c>
      <c r="B18" s="4" t="s">
        <v>31</v>
      </c>
      <c r="C18" s="4" t="s">
        <v>32</v>
      </c>
      <c r="D18" s="9" t="n">
        <f aca="false">ROUND(B6/52*0.62*16,0)</f>
        <v>33957</v>
      </c>
      <c r="E18" s="10" t="s">
        <v>33</v>
      </c>
    </row>
    <row r="19" customFormat="false" ht="19.4" hidden="false" customHeight="false" outlineLevel="0" collapsed="false">
      <c r="A19" s="4" t="s">
        <v>34</v>
      </c>
      <c r="B19" s="4" t="s">
        <v>35</v>
      </c>
      <c r="C19" s="4" t="s">
        <v>36</v>
      </c>
      <c r="D19" s="9" t="n">
        <f aca="false">ROUND((B6-B13)/12*0.62*B12,0)</f>
        <v>21390</v>
      </c>
      <c r="E19" s="10" t="s">
        <v>37</v>
      </c>
    </row>
    <row r="20" customFormat="false" ht="19.4" hidden="false" customHeight="false" outlineLevel="0" collapsed="false">
      <c r="A20" s="4" t="s">
        <v>38</v>
      </c>
      <c r="B20" s="4" t="s">
        <v>39</v>
      </c>
      <c r="C20" s="4" t="s">
        <v>40</v>
      </c>
      <c r="D20" s="9" t="n">
        <f aca="false">ROUND(B7/52*16+(B7-B13*0.1)/12*B12,0)</f>
        <v>8927</v>
      </c>
      <c r="E20" s="10" t="s">
        <v>41</v>
      </c>
    </row>
    <row r="21" customFormat="false" ht="28.35" hidden="false" customHeight="false" outlineLevel="0" collapsed="false">
      <c r="A21" s="4" t="s">
        <v>42</v>
      </c>
      <c r="B21" s="4" t="s">
        <v>43</v>
      </c>
      <c r="C21" s="4" t="s">
        <v>44</v>
      </c>
      <c r="D21" s="9" t="n">
        <f aca="false">ROUND(B8/12*13,0)</f>
        <v>12350</v>
      </c>
      <c r="E21" s="10" t="s">
        <v>45</v>
      </c>
    </row>
    <row r="22" customFormat="false" ht="19.4" hidden="false" customHeight="false" outlineLevel="0" collapsed="false">
      <c r="A22" s="4" t="s">
        <v>46</v>
      </c>
      <c r="B22" s="4" t="s">
        <v>47</v>
      </c>
      <c r="C22" s="4" t="s">
        <v>48</v>
      </c>
      <c r="D22" s="9" t="n">
        <f aca="false">B9</f>
        <v>42000</v>
      </c>
      <c r="E22" s="10" t="s">
        <v>49</v>
      </c>
    </row>
    <row r="23" customFormat="false" ht="15" hidden="false" customHeight="false" outlineLevel="0" collapsed="false">
      <c r="A23" s="4" t="s">
        <v>50</v>
      </c>
      <c r="B23" s="4" t="s">
        <v>51</v>
      </c>
      <c r="C23" s="4" t="s">
        <v>52</v>
      </c>
      <c r="D23" s="9" t="n">
        <f aca="false">ROUND(SUM(D18:D22)*0.15,0)</f>
        <v>17794</v>
      </c>
      <c r="E23" s="6" t="s">
        <v>53</v>
      </c>
    </row>
    <row r="24" customFormat="false" ht="15" hidden="false" customHeight="false" outlineLevel="0" collapsed="false">
      <c r="A24" s="4" t="s">
        <v>54</v>
      </c>
      <c r="B24" s="4" t="s">
        <v>55</v>
      </c>
      <c r="C24" s="4" t="s">
        <v>56</v>
      </c>
      <c r="D24" s="11" t="n">
        <v>18000</v>
      </c>
      <c r="E24" s="6" t="s">
        <v>57</v>
      </c>
    </row>
    <row r="25" customFormat="false" ht="15" hidden="false" customHeight="false" outlineLevel="0" collapsed="false">
      <c r="A25" s="4" t="s">
        <v>58</v>
      </c>
      <c r="B25" s="4" t="s">
        <v>59</v>
      </c>
      <c r="C25" s="4" t="s">
        <v>60</v>
      </c>
      <c r="D25" s="11" t="n">
        <v>650</v>
      </c>
      <c r="E25" s="6" t="s">
        <v>61</v>
      </c>
    </row>
    <row r="26" customFormat="false" ht="15" hidden="false" customHeight="false" outlineLevel="0" collapsed="false">
      <c r="A26" s="12" t="s">
        <v>62</v>
      </c>
      <c r="D26" s="13" t="n">
        <f aca="false">SUM(D18:D22)</f>
        <v>118624</v>
      </c>
    </row>
    <row r="27" customFormat="false" ht="15" hidden="false" customHeight="false" outlineLevel="0" collapsed="false">
      <c r="A27" s="14" t="s">
        <v>63</v>
      </c>
      <c r="D27" s="15" t="n">
        <f aca="false">SUM(D17:D25)</f>
        <v>161368</v>
      </c>
    </row>
    <row r="29" customFormat="false" ht="15" hidden="false" customHeight="true" outlineLevel="0" collapsed="false">
      <c r="A29" s="16" t="s">
        <v>64</v>
      </c>
      <c r="B29" s="16"/>
      <c r="C29" s="16"/>
      <c r="D29" s="16"/>
      <c r="E29" s="16"/>
      <c r="F29" s="16"/>
    </row>
  </sheetData>
  <mergeCells count="1">
    <mergeCell ref="A29:F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2026-06-25T13:52:32Z</dcterms:created>
  <dc:creator>openpyxl</dc:creator>
  <dc:description/>
  <dc:language>en-US</dc:language>
  <cp:lastModifiedBy/>
  <dcterms:modified xsi:type="dcterms:W3CDTF">2026-06-25T13:52:32Z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