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lement Breakdow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<sst xmlns="http://schemas.openxmlformats.org/spreadsheetml/2006/main" count="43" uniqueCount="42">
  <si>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t xml:space="preserve">Kingsford Group Limited — Foxley Settlement</t>
  </si>
  <si>
    <t xml:space="preserve">Settlement payment schedule &amp; tax treatment  |  WC-00118  |  Prepared 12 May 2026 (Whitfield Carter LLP)</t>
  </si>
  <si>
    <t xml:space="preserve">Figures agreed in settlement of ET Case No. 2206543/2026. Internal/client use; not tax advice to the Claimant.</t>
  </si>
  <si>
    <t xml:space="preserve">Assumptions</t>
  </si>
  <si>
    <t xml:space="preserve">Settled total consideration (gross) (£)</t>
  </si>
  <si>
    <t xml:space="preserve">Source: Agreed at mediation 28 Apr 2026</t>
  </si>
  <si>
    <t xml:space="preserve">Tax-free termination threshold (£)</t>
  </si>
  <si>
    <t xml:space="preserve">Source: s.403 ITEPA 2003</t>
  </si>
  <si>
    <t xml:space="preserve">Employer's NIC rate over £30k (Class 1A)</t>
  </si>
  <si>
    <t xml:space="preserve">Source: Apr 2025 rate</t>
  </si>
  <si>
    <t xml:space="preserve">Income tax rate on excess (assumed)</t>
  </si>
  <si>
    <t xml:space="preserve">Source: Additional rate (marginal)</t>
  </si>
  <si>
    <t xml:space="preserve">Employee NIC on PILON / earnings</t>
  </si>
  <si>
    <t xml:space="preserve">Source: Above UEL</t>
  </si>
  <si>
    <t xml:space="preserve">Legal fees contribution (+VAT) (£)</t>
  </si>
  <si>
    <t xml:space="preserve">Source: Towards claimant's advice - cl.9</t>
  </si>
  <si>
    <t xml:space="preserve">Allocation of settlement sum</t>
  </si>
  <si>
    <t xml:space="preserve">Component</t>
  </si>
  <si>
    <t xml:space="preserve">Gross (£)</t>
  </si>
  <si>
    <t xml:space="preserve">Taxable?</t>
  </si>
  <si>
    <t xml:space="preserve">PAYE/NIC deducted (£)</t>
  </si>
  <si>
    <t xml:space="preserve">Net to claimant (£)</t>
  </si>
  <si>
    <t xml:space="preserve">Notes</t>
  </si>
  <si>
    <t xml:space="preserve">Payment in lieu of notice (PILON)</t>
  </si>
  <si>
    <t xml:space="preserve">Yes - earnings</t>
  </si>
  <si>
    <t xml:space="preserve">2 months' salary; subject to PAYE &amp; NIC (PENP).</t>
  </si>
  <si>
    <t xml:space="preserve">Accrued but untaken holiday</t>
  </si>
  <si>
    <t xml:space="preserve">7.8 days accrued to termination date.</t>
  </si>
  <si>
    <t xml:space="preserve">Compensation for loss of office (ex gratia)</t>
  </si>
  <si>
    <t xml:space="preserve">First £30k free</t>
  </si>
  <si>
    <t xml:space="preserve">s.403 ITEPA: first £30,000 tax-free; balance at marginal rate.</t>
  </si>
  <si>
    <t xml:space="preserve">Contribution to claimant's legal fees</t>
  </si>
  <si>
    <t xml:space="preserve">No (s.413A)</t>
  </si>
  <si>
    <t xml:space="preserve">Paid direct to Ashworth Quinn LLP against invoice; tax-free.</t>
  </si>
  <si>
    <t xml:space="preserve">TOTAL</t>
  </si>
  <si>
    <t xml:space="preserve">Employer cost summary</t>
  </si>
  <si>
    <t xml:space="preserve">Gross settlement consideration</t>
  </si>
  <si>
    <t xml:space="preserve">Employer's NIC on PILON &amp; holiday</t>
  </si>
  <si>
    <t xml:space="preserve">Employer's NIC on taxable ex gratia (&gt;£30k)</t>
  </si>
  <si>
    <t xml:space="preserve">Employer's legal fees (Whitfield Carter, est.)</t>
  </si>
  <si>
    <t xml:space="preserve">TOTAL EMPLOYER COST</t>
  </si>
  <si>
    <t xml:space="preserve">Note: PENP confirms the full notice element is taxable as earnings. Tax treatment indicative; the Claimant is responsible for their own tax position and the agreement contains a standard tax indemnity (cl.8).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</si>
</sst>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;\-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5" t="n">
        <v>185000</v>
      </c>
      <c r="F6" s="6" t="s">
        <v>5</v>
      </c>
    </row>
    <row r="7" customFormat="false" ht="15" hidden="false" customHeight="false" outlineLevel="0" collapsed="false">
      <c r="A7" s="4" t="s">
        <v>6</v>
      </c>
      <c r="B7" s="5" t="n">
        <v>30000</v>
      </c>
      <c r="F7" s="6" t="s">
        <v>7</v>
      </c>
    </row>
    <row r="8" customFormat="false" ht="15" hidden="false" customHeight="false" outlineLevel="0" collapsed="false">
      <c r="A8" s="4" t="s">
        <v>8</v>
      </c>
      <c r="B8" s="7" t="n">
        <v>0.138</v>
      </c>
      <c r="F8" s="6" t="s">
        <v>9</v>
      </c>
    </row>
    <row r="9" customFormat="false" ht="15" hidden="false" customHeight="false" outlineLevel="0" collapsed="false">
      <c r="A9" s="4" t="s">
        <v>10</v>
      </c>
      <c r="B9" s="7" t="n">
        <v>0.45</v>
      </c>
      <c r="F9" s="6" t="s">
        <v>11</v>
      </c>
    </row>
    <row r="10" customFormat="false" ht="15" hidden="false" customHeight="false" outlineLevel="0" collapsed="false">
      <c r="A10" s="4" t="s">
        <v>12</v>
      </c>
      <c r="B10" s="7" t="n">
        <v>0.02</v>
      </c>
      <c r="F10" s="6" t="s">
        <v>13</v>
      </c>
    </row>
    <row r="11" customFormat="false" ht="15" hidden="false" customHeight="false" outlineLevel="0" collapsed="false">
      <c r="A11" s="4" t="s">
        <v>14</v>
      </c>
      <c r="B11" s="5" t="n">
        <v>1500</v>
      </c>
      <c r="F11" s="6" t="s">
        <v>15</v>
      </c>
    </row>
    <row r="13" customFormat="false" ht="15" hidden="false" customHeight="false" outlineLevel="0" collapsed="false">
      <c r="A13" s="3" t="s">
        <v>16</v>
      </c>
    </row>
    <row r="14" customFormat="false" ht="26.85" hidden="false" customHeight="false" outlineLevel="0" collapsed="false">
      <c r="A14" s="8" t="s">
        <v>17</v>
      </c>
      <c r="B14" s="8" t="s">
        <v>18</v>
      </c>
      <c r="C14" s="8" t="s">
        <v>19</v>
      </c>
      <c r="D14" s="8" t="s">
        <v>20</v>
      </c>
      <c r="E14" s="8" t="s">
        <v>21</v>
      </c>
      <c r="F14" s="8" t="s">
        <v>22</v>
      </c>
    </row>
    <row r="15" customFormat="false" ht="15" hidden="false" customHeight="false" outlineLevel="0" collapsed="false">
      <c r="A15" s="4" t="s">
        <v>23</v>
      </c>
      <c r="B15" s="9" t="n">
        <v>29667</v>
      </c>
      <c r="C15" s="4" t="s">
        <v>24</v>
      </c>
      <c r="D15" s="10" t="n">
        <f aca="false">ROUND(B15*(B9+B10),0)</f>
        <v>13943</v>
      </c>
      <c r="E15" s="10" t="n">
        <f aca="false">B15-D15</f>
        <v>15724</v>
      </c>
      <c r="F15" s="6" t="s">
        <v>25</v>
      </c>
    </row>
    <row r="16" customFormat="false" ht="15" hidden="false" customHeight="false" outlineLevel="0" collapsed="false">
      <c r="A16" s="4" t="s">
        <v>26</v>
      </c>
      <c r="B16" s="9" t="n">
        <v>5333</v>
      </c>
      <c r="C16" s="4" t="s">
        <v>24</v>
      </c>
      <c r="D16" s="10" t="n">
        <f aca="false">ROUND(B16*(B9+B10),0)</f>
        <v>2507</v>
      </c>
      <c r="E16" s="10" t="n">
        <f aca="false">B16-D16</f>
        <v>2826</v>
      </c>
      <c r="F16" s="6" t="s">
        <v>27</v>
      </c>
    </row>
    <row r="17" customFormat="false" ht="15" hidden="false" customHeight="false" outlineLevel="0" collapsed="false">
      <c r="A17" s="4" t="s">
        <v>28</v>
      </c>
      <c r="B17" s="10" t="n">
        <f aca="false">B6-B15-B16-B11</f>
        <v>148500</v>
      </c>
      <c r="C17" s="4" t="s">
        <v>29</v>
      </c>
      <c r="D17" s="10" t="n">
        <f aca="false">ROUND(MAX(0,B17-B7)*B9,0)</f>
        <v>53325</v>
      </c>
      <c r="E17" s="10" t="n">
        <f aca="false">B17-D17</f>
        <v>95175</v>
      </c>
      <c r="F17" s="6" t="s">
        <v>30</v>
      </c>
    </row>
    <row r="18" customFormat="false" ht="15" hidden="false" customHeight="false" outlineLevel="0" collapsed="false">
      <c r="A18" s="4" t="s">
        <v>31</v>
      </c>
      <c r="B18" s="10" t="n">
        <f aca="false">B11</f>
        <v>1500</v>
      </c>
      <c r="C18" s="4" t="s">
        <v>32</v>
      </c>
      <c r="D18" s="10" t="n">
        <v>0</v>
      </c>
      <c r="E18" s="10" t="n">
        <f aca="false">B18-D18</f>
        <v>1500</v>
      </c>
      <c r="F18" s="6" t="s">
        <v>33</v>
      </c>
    </row>
    <row r="19" customFormat="false" ht="15" hidden="false" customHeight="false" outlineLevel="0" collapsed="false">
      <c r="A19" s="11" t="s">
        <v>34</v>
      </c>
      <c r="B19" s="12" t="n">
        <f aca="false">SUM(B15:B18)</f>
        <v>185000</v>
      </c>
      <c r="C19" s="13"/>
      <c r="D19" s="12" t="n">
        <f aca="false">SUM(D15:D18)</f>
        <v>69775</v>
      </c>
      <c r="E19" s="12" t="n">
        <f aca="false">SUM(E15:E18)</f>
        <v>115225</v>
      </c>
    </row>
    <row r="21" customFormat="false" ht="15" hidden="false" customHeight="false" outlineLevel="0" collapsed="false">
      <c r="A21" s="3" t="s">
        <v>35</v>
      </c>
    </row>
    <row r="22" customFormat="false" ht="15" hidden="false" customHeight="false" outlineLevel="0" collapsed="false">
      <c r="A22" s="4" t="s">
        <v>36</v>
      </c>
      <c r="B22" s="10" t="n">
        <f aca="false">B19</f>
        <v>185000</v>
      </c>
    </row>
    <row r="23" customFormat="false" ht="15" hidden="false" customHeight="false" outlineLevel="0" collapsed="false">
      <c r="A23" s="4" t="s">
        <v>37</v>
      </c>
      <c r="B23" s="10" t="n">
        <f aca="false">ROUND((B15+B16)*B8,0)</f>
        <v>4830</v>
      </c>
    </row>
    <row r="24" customFormat="false" ht="15" hidden="false" customHeight="false" outlineLevel="0" collapsed="false">
      <c r="A24" s="4" t="s">
        <v>38</v>
      </c>
      <c r="B24" s="10" t="n">
        <f aca="false">ROUND(MAX(0,B17-B7)*B8,0)</f>
        <v>16353</v>
      </c>
    </row>
    <row r="25" customFormat="false" ht="15" hidden="false" customHeight="false" outlineLevel="0" collapsed="false">
      <c r="A25" s="4" t="s">
        <v>39</v>
      </c>
      <c r="B25" s="9" t="n">
        <v>38000</v>
      </c>
    </row>
    <row r="26" customFormat="false" ht="15" hidden="false" customHeight="false" outlineLevel="0" collapsed="false">
      <c r="A26" s="11" t="s">
        <v>40</v>
      </c>
      <c r="B26" s="12" t="n">
        <f aca="false">SUM(B22:B25)</f>
        <v>244183</v>
      </c>
    </row>
    <row r="28" customFormat="false" ht="15" hidden="false" customHeight="true" outlineLevel="0" collapsed="false">
      <c r="A28" s="14" t="s">
        <v>41</v>
      </c>
      <c r="B28" s="14"/>
      <c r="C28" s="14"/>
      <c r="D28" s="14"/>
      <c r="E28" s="14"/>
      <c r="F28" s="14"/>
    </row>
  </sheetData>
  <mergeCells count="1"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2026-06-25T13:52:32Z</dcterms:created>
  <dc:creator>openpyxl</dc:creator>
  <dc:description/>
  <dc:language>en-US</dc:language>
  <cp:lastModifiedBy/>
  <dcterms:modified xsi:type="dcterms:W3CDTF">2026-06-25T13:52:32Z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