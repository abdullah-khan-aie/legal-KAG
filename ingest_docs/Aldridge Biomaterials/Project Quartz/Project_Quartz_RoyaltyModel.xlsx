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oyalty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£#,##0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  <xf numFmtId="166" fontId="0" fillId="0" borderId="1" pivotButton="0" quotePrefix="0" xfId="0"/>
    <xf numFmtId="0" fontId="5" fillId="0" borderId="0" pivotButton="0" quotePrefix="0" xfId="0"/>
    <xf numFmtId="164" fontId="5" fillId="0" borderId="1" pivotButton="0" quotePrefix="0" xfId="0"/>
    <xf numFmtId="164" fontId="0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PROJECT QUARTZ — Licence Royalty Model</t>
        </is>
      </c>
    </row>
    <row r="2">
      <c r="A2" s="2" t="inlineStr">
        <is>
          <t>Aldridge Biomaterials Limited — executed terms (12 December 2025)</t>
        </is>
      </c>
    </row>
    <row r="4">
      <c r="A4" s="3" t="inlineStr">
        <is>
          <t>Assumption</t>
        </is>
      </c>
      <c r="B4" s="3" t="inlineStr">
        <is>
          <t>Value</t>
        </is>
      </c>
    </row>
    <row r="5">
      <c r="A5" s="4" t="inlineStr">
        <is>
          <t>Upfront fee (£)</t>
        </is>
      </c>
      <c r="B5" s="5" t="n">
        <v>1250000</v>
      </c>
    </row>
    <row r="6">
      <c r="A6" s="4" t="inlineStr">
        <is>
          <t>Running royalty rate</t>
        </is>
      </c>
      <c r="B6" s="6" t="n">
        <v>0.05</v>
      </c>
    </row>
    <row r="7">
      <c r="A7" s="4" t="inlineStr">
        <is>
          <t>Royalty rate (term sheet, superseded)</t>
        </is>
      </c>
      <c r="B7" s="6" t="n">
        <v>0.065</v>
      </c>
    </row>
    <row r="8">
      <c r="A8" s="4" t="inlineStr">
        <is>
          <t>Min. annual royalty — Year 1 (£)</t>
        </is>
      </c>
      <c r="B8" s="5" t="n">
        <v>150000</v>
      </c>
    </row>
    <row r="9">
      <c r="A9" s="4" t="inlineStr">
        <is>
          <t>Min. annual royalty — Year 2 (£)</t>
        </is>
      </c>
      <c r="B9" s="5" t="n">
        <v>350000</v>
      </c>
    </row>
    <row r="10">
      <c r="A10" s="4" t="inlineStr">
        <is>
          <t>Min. annual royalty — Year 3+ (£)</t>
        </is>
      </c>
      <c r="B10" s="5" t="n">
        <v>500000</v>
      </c>
    </row>
    <row r="11">
      <c r="A11" s="4" t="inlineStr">
        <is>
          <t>Net Sales — Year 1 forecast (£)</t>
        </is>
      </c>
      <c r="B11" s="5" t="n">
        <v>2200000</v>
      </c>
    </row>
    <row r="12">
      <c r="A12" s="4" t="inlineStr">
        <is>
          <t>Net Sales growth p.a.</t>
        </is>
      </c>
      <c r="B12" s="6" t="n">
        <v>0.35</v>
      </c>
    </row>
    <row r="13">
      <c r="A13" s="4" t="inlineStr">
        <is>
          <t>Discount rate (NPV)</t>
        </is>
      </c>
      <c r="B13" s="6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18" customWidth="1" min="5" max="5"/>
    <col width="14" customWidth="1" min="6" max="6"/>
    <col width="18" customWidth="1" min="7" max="7"/>
  </cols>
  <sheetData>
    <row r="1">
      <c r="A1" s="7" t="inlineStr">
        <is>
          <t>10-Year Royalty Projection (5.0% of Net Sales, with minimum annual royalty floor)</t>
        </is>
      </c>
    </row>
    <row r="3">
      <c r="A3" s="3" t="inlineStr">
        <is>
          <t>Contract year</t>
        </is>
      </c>
      <c r="B3" s="3" t="inlineStr">
        <is>
          <t>Net Sales (£)</t>
        </is>
      </c>
      <c r="C3" s="3" t="inlineStr">
        <is>
          <t>Running royalty @5.0% (£)</t>
        </is>
      </c>
      <c r="D3" s="3" t="inlineStr">
        <is>
          <t>Minimum royalty (£)</t>
        </is>
      </c>
      <c r="E3" s="3" t="inlineStr">
        <is>
          <t>Royalty payable (£)</t>
        </is>
      </c>
      <c r="F3" s="3" t="inlineStr">
        <is>
          <t>Discount factor</t>
        </is>
      </c>
      <c r="G3" s="3" t="inlineStr">
        <is>
          <t>PV of royalty (£)</t>
        </is>
      </c>
    </row>
    <row r="4">
      <c r="A4" s="4" t="n">
        <v>1</v>
      </c>
      <c r="B4" s="5">
        <f>Assumptions!$B$11</f>
        <v/>
      </c>
      <c r="C4" s="5">
        <f>B4*Assumptions!$B$6</f>
        <v/>
      </c>
      <c r="D4" s="5">
        <f>Assumptions!$B$8</f>
        <v/>
      </c>
      <c r="E4" s="5">
        <f>MAX(C4,D4)</f>
        <v/>
      </c>
      <c r="F4" s="8">
        <f>1/((1+Assumptions!$B$13)^A4)</f>
        <v/>
      </c>
      <c r="G4" s="5">
        <f>E4*F4</f>
        <v/>
      </c>
    </row>
    <row r="5">
      <c r="A5" s="4" t="n">
        <v>2</v>
      </c>
      <c r="B5" s="5">
        <f>B4*(1+Assumptions!$B$12)</f>
        <v/>
      </c>
      <c r="C5" s="5">
        <f>B5*Assumptions!$B$6</f>
        <v/>
      </c>
      <c r="D5" s="5">
        <f>Assumptions!$B$9</f>
        <v/>
      </c>
      <c r="E5" s="5">
        <f>MAX(C5,D5)</f>
        <v/>
      </c>
      <c r="F5" s="8">
        <f>1/((1+Assumptions!$B$13)^A5)</f>
        <v/>
      </c>
      <c r="G5" s="5">
        <f>E5*F5</f>
        <v/>
      </c>
    </row>
    <row r="6">
      <c r="A6" s="4" t="n">
        <v>3</v>
      </c>
      <c r="B6" s="5">
        <f>B5*(1+Assumptions!$B$12)</f>
        <v/>
      </c>
      <c r="C6" s="5">
        <f>B6*Assumptions!$B$6</f>
        <v/>
      </c>
      <c r="D6" s="5">
        <f>Assumptions!$B$10</f>
        <v/>
      </c>
      <c r="E6" s="5">
        <f>MAX(C6,D6)</f>
        <v/>
      </c>
      <c r="F6" s="8">
        <f>1/((1+Assumptions!$B$13)^A6)</f>
        <v/>
      </c>
      <c r="G6" s="5">
        <f>E6*F6</f>
        <v/>
      </c>
    </row>
    <row r="7">
      <c r="A7" s="4" t="n">
        <v>4</v>
      </c>
      <c r="B7" s="5">
        <f>B6*(1+Assumptions!$B$12)</f>
        <v/>
      </c>
      <c r="C7" s="5">
        <f>B7*Assumptions!$B$6</f>
        <v/>
      </c>
      <c r="D7" s="5">
        <f>Assumptions!$B$10</f>
        <v/>
      </c>
      <c r="E7" s="5">
        <f>MAX(C7,D7)</f>
        <v/>
      </c>
      <c r="F7" s="8">
        <f>1/((1+Assumptions!$B$13)^A7)</f>
        <v/>
      </c>
      <c r="G7" s="5">
        <f>E7*F7</f>
        <v/>
      </c>
    </row>
    <row r="8">
      <c r="A8" s="4" t="n">
        <v>5</v>
      </c>
      <c r="B8" s="5">
        <f>B7*(1+Assumptions!$B$12)</f>
        <v/>
      </c>
      <c r="C8" s="5">
        <f>B8*Assumptions!$B$6</f>
        <v/>
      </c>
      <c r="D8" s="5">
        <f>Assumptions!$B$10</f>
        <v/>
      </c>
      <c r="E8" s="5">
        <f>MAX(C8,D8)</f>
        <v/>
      </c>
      <c r="F8" s="8">
        <f>1/((1+Assumptions!$B$13)^A8)</f>
        <v/>
      </c>
      <c r="G8" s="5">
        <f>E8*F8</f>
        <v/>
      </c>
    </row>
    <row r="9">
      <c r="A9" s="4" t="n">
        <v>6</v>
      </c>
      <c r="B9" s="5">
        <f>B8*(1+Assumptions!$B$12)</f>
        <v/>
      </c>
      <c r="C9" s="5">
        <f>B9*Assumptions!$B$6</f>
        <v/>
      </c>
      <c r="D9" s="5">
        <f>Assumptions!$B$10</f>
        <v/>
      </c>
      <c r="E9" s="5">
        <f>MAX(C9,D9)</f>
        <v/>
      </c>
      <c r="F9" s="8">
        <f>1/((1+Assumptions!$B$13)^A9)</f>
        <v/>
      </c>
      <c r="G9" s="5">
        <f>E9*F9</f>
        <v/>
      </c>
    </row>
    <row r="10">
      <c r="A10" s="4" t="n">
        <v>7</v>
      </c>
      <c r="B10" s="5">
        <f>B9*(1+Assumptions!$B$12)</f>
        <v/>
      </c>
      <c r="C10" s="5">
        <f>B10*Assumptions!$B$6</f>
        <v/>
      </c>
      <c r="D10" s="5">
        <f>Assumptions!$B$10</f>
        <v/>
      </c>
      <c r="E10" s="5">
        <f>MAX(C10,D10)</f>
        <v/>
      </c>
      <c r="F10" s="8">
        <f>1/((1+Assumptions!$B$13)^A10)</f>
        <v/>
      </c>
      <c r="G10" s="5">
        <f>E10*F10</f>
        <v/>
      </c>
    </row>
    <row r="11">
      <c r="A11" s="4" t="n">
        <v>8</v>
      </c>
      <c r="B11" s="5">
        <f>B10*(1+Assumptions!$B$12)</f>
        <v/>
      </c>
      <c r="C11" s="5">
        <f>B11*Assumptions!$B$6</f>
        <v/>
      </c>
      <c r="D11" s="5">
        <f>Assumptions!$B$10</f>
        <v/>
      </c>
      <c r="E11" s="5">
        <f>MAX(C11,D11)</f>
        <v/>
      </c>
      <c r="F11" s="8">
        <f>1/((1+Assumptions!$B$13)^A11)</f>
        <v/>
      </c>
      <c r="G11" s="5">
        <f>E11*F11</f>
        <v/>
      </c>
    </row>
    <row r="12">
      <c r="A12" s="4" t="n">
        <v>9</v>
      </c>
      <c r="B12" s="5">
        <f>B11*(1+Assumptions!$B$12)</f>
        <v/>
      </c>
      <c r="C12" s="5">
        <f>B12*Assumptions!$B$6</f>
        <v/>
      </c>
      <c r="D12" s="5">
        <f>Assumptions!$B$10</f>
        <v/>
      </c>
      <c r="E12" s="5">
        <f>MAX(C12,D12)</f>
        <v/>
      </c>
      <c r="F12" s="8">
        <f>1/((1+Assumptions!$B$13)^A12)</f>
        <v/>
      </c>
      <c r="G12" s="5">
        <f>E12*F12</f>
        <v/>
      </c>
    </row>
    <row r="13">
      <c r="A13" s="4" t="n">
        <v>10</v>
      </c>
      <c r="B13" s="5">
        <f>B12*(1+Assumptions!$B$12)</f>
        <v/>
      </c>
      <c r="C13" s="5">
        <f>B13*Assumptions!$B$6</f>
        <v/>
      </c>
      <c r="D13" s="5">
        <f>Assumptions!$B$10</f>
        <v/>
      </c>
      <c r="E13" s="5">
        <f>MAX(C13,D13)</f>
        <v/>
      </c>
      <c r="F13" s="8">
        <f>1/((1+Assumptions!$B$13)^A13)</f>
        <v/>
      </c>
      <c r="G13" s="5">
        <f>E13*F13</f>
        <v/>
      </c>
    </row>
    <row r="14">
      <c r="A14" s="9" t="inlineStr">
        <is>
          <t>Total</t>
        </is>
      </c>
      <c r="C14" s="10">
        <f>SUM(C4:C13)</f>
        <v/>
      </c>
      <c r="D14" s="10">
        <f>SUM(D4:D13)</f>
        <v/>
      </c>
      <c r="E14" s="10">
        <f>SUM(E4:E13)</f>
        <v/>
      </c>
      <c r="G14" s="10">
        <f>SUM(G4:G13)</f>
        <v/>
      </c>
    </row>
    <row r="16">
      <c r="A16" s="9" t="inlineStr">
        <is>
          <t>Upfront fee (£)</t>
        </is>
      </c>
      <c r="B16" s="11">
        <f>Assumptions!$B$5</f>
        <v/>
      </c>
    </row>
    <row r="17">
      <c r="A17" s="9" t="inlineStr">
        <is>
          <t>NPV of royalties (£)</t>
        </is>
      </c>
      <c r="B17" s="11">
        <f>G14</f>
        <v/>
      </c>
    </row>
    <row r="18">
      <c r="A18" s="9" t="inlineStr">
        <is>
          <t>Total deal value (upfront + NPV royalties) (£)</t>
        </is>
      </c>
      <c r="B18" s="12">
        <f>B16+B17</f>
        <v/>
      </c>
    </row>
    <row r="20">
      <c r="A20" s="2" t="inlineStr">
        <is>
          <t>Model reflects executed terms: 5.0% royalty, £1.25m upfront, minimum annual royalties £150k/£350k/£500k. The 6.5% term-sheet rate (Assumptions B7) was superseded in negotiation.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2026-06-29T11:23:06Z</dcterms:created>
  <dcterms:modified xmlns:dcterms="http://purl.org/dc/terms/" xmlns:xsi="http://www.w3.org/2001/XMLSchema-instance" xsi:type="dcterms:W3CDTF">2026-06-29T11:23:48Z</dcterms:modified>
</cp:coreProperties>
</file>