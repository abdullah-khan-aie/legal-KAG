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oyalty Projection" sheetId="2" state="visible" r:id="rId2"/>
    <sheet xmlns:r="http://schemas.openxmlformats.org/officeDocument/2006/relationships" name="Royalty Sensitivit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£#,##0;&quot;(£&quot;#,##0\);\-"/>
    <numFmt numFmtId="165" formatCode="0.0%"/>
    <numFmt numFmtId="166" formatCode="#,##0;\(#,##0\);\-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8000"/>
      <sz val="10"/>
    </font>
  </fonts>
  <fills count="5">
    <fill>
      <patternFill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166" fontId="8" fillId="3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166" fontId="6" fillId="2" borderId="0" applyAlignment="1" pivotButton="0" quotePrefix="0" xfId="0">
      <alignment horizontal="general" vertical="bottom"/>
    </xf>
    <xf numFmtId="165" fontId="6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166" fontId="8" fillId="3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166" fontId="6" fillId="2" borderId="0" applyAlignment="1" pivotButton="0" quotePrefix="0" xfId="0">
      <alignment horizontal="general" vertical="bottom"/>
    </xf>
    <xf numFmtId="165" fontId="6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23" min="1" max="1"/>
    <col width="16" customWidth="1" style="23" min="2" max="2"/>
  </cols>
  <sheetData>
    <row r="1" ht="17.35" customHeight="1" s="24">
      <c r="A1" s="25" t="inlineStr">
        <is>
          <t>Project Lyra — Patent &amp; Know-How Licence: Royalty &amp; Value Model</t>
        </is>
      </c>
    </row>
    <row r="2" ht="15" customHeight="1" s="24">
      <c r="A2" s="26" t="inlineStr">
        <is>
          <t>Veridian Photonics Limited (Licensor) / Marrick Defence Systems plc (Licensee)</t>
        </is>
      </c>
    </row>
    <row r="3" ht="15" customHeight="1" s="24">
      <c r="A3" s="26" t="inlineStr">
        <is>
          <t>Execution version dated 27 June 2025. Figures consistent with the executed Licence.</t>
        </is>
      </c>
    </row>
    <row r="5" ht="15" customHeight="1" s="24">
      <c r="A5" s="27" t="inlineStr">
        <is>
          <t>Key commercial terms</t>
        </is>
      </c>
    </row>
    <row r="6" ht="15" customHeight="1" s="24">
      <c r="A6" s="28" t="inlineStr">
        <is>
          <t>Upfront fee (clause 5.1)</t>
        </is>
      </c>
      <c r="B6" s="29" t="n">
        <v>4500000</v>
      </c>
    </row>
    <row r="7" ht="15" customHeight="1" s="24">
      <c r="A7" s="28" t="inlineStr">
        <is>
          <t>Milestone — total (clause 5.2)</t>
        </is>
      </c>
      <c r="B7" s="29" t="n">
        <v>2000000</v>
      </c>
    </row>
    <row r="8" ht="15" customHeight="1" s="24">
      <c r="A8" s="28" t="inlineStr">
        <is>
          <t>Milestone tranche 1 (on first sale)</t>
        </is>
      </c>
      <c r="B8" s="30">
        <f>B7/2</f>
        <v/>
      </c>
    </row>
    <row r="9" ht="15" customHeight="1" s="24">
      <c r="A9" s="28" t="inlineStr">
        <is>
          <t>Milestone tranche 2 (1st anniv. of first sale)</t>
        </is>
      </c>
      <c r="B9" s="30">
        <f>B7/2</f>
        <v/>
      </c>
    </row>
    <row r="10" ht="15" customHeight="1" s="24">
      <c r="A10" s="28" t="inlineStr">
        <is>
          <t>Running royalty rate (clause 5.3)</t>
        </is>
      </c>
      <c r="B10" s="31" t="n">
        <v>0.06</v>
      </c>
    </row>
    <row r="11" ht="15" customHeight="1" s="24">
      <c r="A11" s="28" t="inlineStr">
        <is>
          <t>Minimum annual royalty from Yr 3 (clause 5.4)</t>
        </is>
      </c>
      <c r="B11" s="29" t="n">
        <v>750000</v>
      </c>
    </row>
    <row r="12" ht="15" customHeight="1" s="24">
      <c r="A12" s="28" t="inlineStr">
        <is>
          <t>Audit underpayment threshold (clause 5.7)</t>
        </is>
      </c>
      <c r="B12" s="31" t="n">
        <v>0.05</v>
      </c>
    </row>
    <row r="13" ht="15" customHeight="1" s="24">
      <c r="A13" s="28" t="inlineStr">
        <is>
          <t>Discount rate (Veridian internal, for NPV)</t>
        </is>
      </c>
      <c r="B13" s="31" t="n">
        <v>0.12</v>
      </c>
    </row>
    <row r="14" ht="15" customHeight="1" s="24">
      <c r="A14" s="28" t="inlineStr">
        <is>
          <t>First commercial sale (months from Effective Date)</t>
        </is>
      </c>
      <c r="B14" s="32" t="n">
        <v>22</v>
      </c>
    </row>
    <row r="16" ht="15" customHeight="1" s="24">
      <c r="A16" s="26" t="inlineStr">
        <is>
          <t>Inputs in blue / yellow are assumptions; black are formulas; green link to other sheets.</t>
        </is>
      </c>
    </row>
  </sheetData>
  <mergeCells count="1">
    <mergeCell ref="A5:B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23" min="1" max="1"/>
    <col width="14" customWidth="1" style="23" min="2" max="8"/>
  </cols>
  <sheetData>
    <row r="1" ht="17.35" customHeight="1" s="24">
      <c r="A1" s="25" t="inlineStr">
        <is>
          <t>Net Sales &amp; Royalty Projection (Years 1–6 from Effective Date)</t>
        </is>
      </c>
    </row>
    <row r="2" ht="15" customHeight="1" s="24">
      <c r="A2" s="26" t="inlineStr">
        <is>
          <t>Year 1 reflects part-year sales (first commercial sale at month 22).</t>
        </is>
      </c>
    </row>
    <row r="4" ht="15" customHeight="1" s="24">
      <c r="A4" s="33" t="inlineStr">
        <is>
          <t>Line item</t>
        </is>
      </c>
      <c r="B4" s="34" t="inlineStr">
        <is>
          <t>Year 1</t>
        </is>
      </c>
      <c r="C4" s="34" t="inlineStr">
        <is>
          <t>Year 2</t>
        </is>
      </c>
      <c r="D4" s="34" t="inlineStr">
        <is>
          <t>Year 3</t>
        </is>
      </c>
      <c r="E4" s="34" t="inlineStr">
        <is>
          <t>Year 4</t>
        </is>
      </c>
      <c r="F4" s="34" t="inlineStr">
        <is>
          <t>Year 5</t>
        </is>
      </c>
      <c r="G4" s="34" t="inlineStr">
        <is>
          <t>Year 6</t>
        </is>
      </c>
      <c r="H4" s="34" t="inlineStr">
        <is>
          <t>Total</t>
        </is>
      </c>
    </row>
    <row r="5" ht="15" customHeight="1" s="24">
      <c r="A5" s="35" t="inlineStr">
        <is>
          <t>Units sold (systems)</t>
        </is>
      </c>
      <c r="B5" s="36" t="n">
        <v>130</v>
      </c>
      <c r="C5" s="36" t="n">
        <v>660</v>
      </c>
      <c r="D5" s="36" t="n">
        <v>1200</v>
      </c>
      <c r="E5" s="36" t="n">
        <v>1660</v>
      </c>
      <c r="F5" s="36" t="n">
        <v>2025</v>
      </c>
      <c r="G5" s="36" t="n">
        <v>2205</v>
      </c>
      <c r="H5" s="37">
        <f>SUM(B5:G5)</f>
        <v/>
      </c>
    </row>
    <row r="6" ht="15" customHeight="1" s="24">
      <c r="A6" s="35" t="inlineStr">
        <is>
          <t>Average selling price (£)</t>
        </is>
      </c>
      <c r="B6" s="38" t="n">
        <v>185000</v>
      </c>
      <c r="C6" s="38" t="n">
        <v>185000</v>
      </c>
      <c r="D6" s="38" t="n">
        <v>185000</v>
      </c>
      <c r="E6" s="38" t="n">
        <v>185000</v>
      </c>
      <c r="F6" s="38" t="n">
        <v>185000</v>
      </c>
      <c r="G6" s="38" t="n">
        <v>185000</v>
      </c>
      <c r="H6" s="39">
        <f>SUM(B6:G6)</f>
        <v/>
      </c>
    </row>
    <row r="7" ht="15" customHeight="1" s="24">
      <c r="A7" s="35" t="inlineStr">
        <is>
          <t>Net Sales (£)</t>
        </is>
      </c>
      <c r="B7" s="40">
        <f>B5*B6</f>
        <v/>
      </c>
      <c r="C7" s="40">
        <f>C5*C6</f>
        <v/>
      </c>
      <c r="D7" s="40">
        <f>D5*D6</f>
        <v/>
      </c>
      <c r="E7" s="40">
        <f>E5*E6</f>
        <v/>
      </c>
      <c r="F7" s="40">
        <f>F5*F6</f>
        <v/>
      </c>
      <c r="G7" s="40">
        <f>G5*G6</f>
        <v/>
      </c>
      <c r="H7" s="39">
        <f>SUM(B7:G7)</f>
        <v/>
      </c>
    </row>
    <row r="8" ht="15" customHeight="1" s="24">
      <c r="A8" s="35" t="inlineStr">
        <is>
          <t>Running royalty @ rate</t>
        </is>
      </c>
      <c r="B8" s="40">
        <f>B7*Assumptions!$B$10</f>
        <v/>
      </c>
      <c r="C8" s="40">
        <f>C7*Assumptions!$B$10</f>
        <v/>
      </c>
      <c r="D8" s="40">
        <f>D7*Assumptions!$B$10</f>
        <v/>
      </c>
      <c r="E8" s="40">
        <f>E7*Assumptions!$B$10</f>
        <v/>
      </c>
      <c r="F8" s="40">
        <f>F7*Assumptions!$B$10</f>
        <v/>
      </c>
      <c r="G8" s="40">
        <f>G7*Assumptions!$B$10</f>
        <v/>
      </c>
      <c r="H8" s="39">
        <f>SUM(B8:G8)</f>
        <v/>
      </c>
    </row>
    <row r="9" ht="15" customHeight="1" s="24">
      <c r="A9" s="35" t="inlineStr">
        <is>
          <t>Minimum-royalty top-up (Yr 3+)</t>
        </is>
      </c>
      <c r="B9" s="40" t="n">
        <v>0</v>
      </c>
      <c r="C9" s="40" t="n">
        <v>0</v>
      </c>
      <c r="D9" s="40">
        <f>MAX(0,Assumptions!$B$11-D8)</f>
        <v/>
      </c>
      <c r="E9" s="40">
        <f>MAX(0,Assumptions!$B$11-E8)</f>
        <v/>
      </c>
      <c r="F9" s="40">
        <f>MAX(0,Assumptions!$B$11-F8)</f>
        <v/>
      </c>
      <c r="G9" s="40">
        <f>MAX(0,Assumptions!$B$11-G8)</f>
        <v/>
      </c>
      <c r="H9" s="39">
        <f>SUM(B9:G9)</f>
        <v/>
      </c>
    </row>
    <row r="10" ht="15" customHeight="1" s="24">
      <c r="A10" s="41" t="inlineStr">
        <is>
          <t>Royalty payable to Veridian</t>
        </is>
      </c>
      <c r="B10" s="40">
        <f>MAX(B8,B8+B9)</f>
        <v/>
      </c>
      <c r="C10" s="40">
        <f>MAX(C8,C8+C9)</f>
        <v/>
      </c>
      <c r="D10" s="40">
        <f>MAX(D8,D8+D9)</f>
        <v/>
      </c>
      <c r="E10" s="40">
        <f>MAX(E8,E8+E9)</f>
        <v/>
      </c>
      <c r="F10" s="40">
        <f>MAX(F8,F8+F9)</f>
        <v/>
      </c>
      <c r="G10" s="40">
        <f>MAX(G8,G8+G9)</f>
        <v/>
      </c>
      <c r="H10" s="39">
        <f>SUM(B10:G10)</f>
        <v/>
      </c>
    </row>
    <row r="12" ht="15" customHeight="1" s="24">
      <c r="A12" s="27" t="inlineStr">
        <is>
          <t>One-off receipts</t>
        </is>
      </c>
    </row>
    <row r="13" ht="15" customHeight="1" s="24">
      <c r="A13" s="35" t="inlineStr">
        <is>
          <t>Upfront fee</t>
        </is>
      </c>
      <c r="B13" s="42">
        <f>Assumptions!$B$6</f>
        <v/>
      </c>
      <c r="C13" s="40" t="n">
        <v>0</v>
      </c>
      <c r="D13" s="40" t="n">
        <v>0</v>
      </c>
      <c r="E13" s="40" t="n">
        <v>0</v>
      </c>
      <c r="F13" s="40" t="n">
        <v>0</v>
      </c>
      <c r="G13" s="40" t="n">
        <v>0</v>
      </c>
      <c r="H13" s="39">
        <f>SUM(B13:G13)</f>
        <v/>
      </c>
    </row>
    <row r="14" ht="15" customHeight="1" s="24">
      <c r="A14" s="35" t="inlineStr">
        <is>
          <t>Milestone tranche 1</t>
        </is>
      </c>
      <c r="B14" s="42">
        <f>Assumptions!$B$8</f>
        <v/>
      </c>
      <c r="C14" s="40" t="n">
        <v>0</v>
      </c>
      <c r="D14" s="40" t="n">
        <v>0</v>
      </c>
      <c r="E14" s="40" t="n">
        <v>0</v>
      </c>
      <c r="F14" s="40" t="n">
        <v>0</v>
      </c>
      <c r="G14" s="40" t="n">
        <v>0</v>
      </c>
      <c r="H14" s="39">
        <f>SUM(B14:G14)</f>
        <v/>
      </c>
    </row>
    <row r="15" ht="15" customHeight="1" s="24">
      <c r="A15" s="35" t="inlineStr">
        <is>
          <t>Milestone tranche 2</t>
        </is>
      </c>
      <c r="B15" s="40" t="n">
        <v>0</v>
      </c>
      <c r="C15" s="42">
        <f>Assumptions!$B$9</f>
        <v/>
      </c>
      <c r="D15" s="40" t="n">
        <v>0</v>
      </c>
      <c r="E15" s="40" t="n">
        <v>0</v>
      </c>
      <c r="F15" s="40" t="n">
        <v>0</v>
      </c>
      <c r="G15" s="40" t="n">
        <v>0</v>
      </c>
      <c r="H15" s="39">
        <f>SUM(B15:G15)</f>
        <v/>
      </c>
    </row>
    <row r="16" ht="15" customHeight="1" s="24">
      <c r="A16" s="41" t="inlineStr">
        <is>
          <t>Total cash to Veridian</t>
        </is>
      </c>
      <c r="B16" s="40">
        <f>B10+B13+B14+B15</f>
        <v/>
      </c>
      <c r="C16" s="40">
        <f>C10+C13+C14+C15</f>
        <v/>
      </c>
      <c r="D16" s="40">
        <f>D10+D13+D14+D15</f>
        <v/>
      </c>
      <c r="E16" s="40">
        <f>E10+E13+E14+E15</f>
        <v/>
      </c>
      <c r="F16" s="40">
        <f>F10+F13+F14+F15</f>
        <v/>
      </c>
      <c r="G16" s="40">
        <f>G10+G13+G14+G15</f>
        <v/>
      </c>
      <c r="H16" s="39">
        <f>SUM(B16:G16)</f>
        <v/>
      </c>
    </row>
    <row r="18" ht="15" customHeight="1" s="24">
      <c r="A18" s="43" t="inlineStr">
        <is>
          <t>NPV of total cash to Veridian @ discount rate</t>
        </is>
      </c>
      <c r="B18" s="44">
        <f>NPV(Assumptions!$B$13,B16:G16)</f>
        <v/>
      </c>
    </row>
    <row r="19" ht="15" customHeight="1" s="24">
      <c r="A19" s="28" t="inlineStr">
        <is>
          <t>Cumulative royalties (Years 1–6)</t>
        </is>
      </c>
      <c r="B19" s="30">
        <f>H10</f>
        <v/>
      </c>
    </row>
    <row r="20" ht="15" customHeight="1" s="24">
      <c r="A20" s="28" t="inlineStr">
        <is>
          <t>Cumulative total receipts (Years 1–6)</t>
        </is>
      </c>
      <c r="B20" s="30">
        <f>H16</f>
        <v/>
      </c>
    </row>
  </sheetData>
  <mergeCells count="1">
    <mergeCell ref="A12:H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3" min="1" max="1"/>
    <col width="14" customWidth="1" style="23" min="2" max="5"/>
  </cols>
  <sheetData>
    <row r="1" ht="17.35" customHeight="1" s="24">
      <c r="A1" s="25" t="inlineStr">
        <is>
          <t>Year-6 royalty sensitivity (rate x units)</t>
        </is>
      </c>
    </row>
    <row r="3" ht="15" customHeight="1" s="24">
      <c r="A3" s="43" t="inlineStr">
        <is>
          <t>Royalty rate \ Year-6 units</t>
        </is>
      </c>
    </row>
    <row r="4" ht="15" customHeight="1" s="24">
      <c r="B4" s="45" t="n">
        <v>1800</v>
      </c>
      <c r="C4" s="45" t="n">
        <v>2000</v>
      </c>
      <c r="D4" s="45" t="n">
        <v>2150</v>
      </c>
      <c r="E4" s="45" t="n">
        <v>2400</v>
      </c>
    </row>
    <row r="5" ht="15" customHeight="1" s="24">
      <c r="A5" s="46" t="n">
        <v>0.0575</v>
      </c>
      <c r="B5" s="40">
        <f>1800*'Royalty Projection'!$G$6*$A5</f>
        <v/>
      </c>
      <c r="C5" s="40">
        <f>2000*'Royalty Projection'!$G$6*$A5</f>
        <v/>
      </c>
      <c r="D5" s="40">
        <f>2150*'Royalty Projection'!$G$6*$A5</f>
        <v/>
      </c>
      <c r="E5" s="40">
        <f>2400*'Royalty Projection'!$G$6*$A5</f>
        <v/>
      </c>
    </row>
    <row r="6" ht="15" customHeight="1" s="24">
      <c r="A6" s="46" t="n">
        <v>0.06</v>
      </c>
      <c r="B6" s="40">
        <f>1800*'Royalty Projection'!$G$6*$A6</f>
        <v/>
      </c>
      <c r="C6" s="40">
        <f>2000*'Royalty Projection'!$G$6*$A6</f>
        <v/>
      </c>
      <c r="D6" s="40">
        <f>2150*'Royalty Projection'!$G$6*$A6</f>
        <v/>
      </c>
      <c r="E6" s="40">
        <f>2400*'Royalty Projection'!$G$6*$A6</f>
        <v/>
      </c>
    </row>
    <row r="7" ht="15" customHeight="1" s="24">
      <c r="A7" s="46" t="n">
        <v>0.065</v>
      </c>
      <c r="B7" s="40">
        <f>1800*'Royalty Projection'!$G$6*$A7</f>
        <v/>
      </c>
      <c r="C7" s="40">
        <f>2000*'Royalty Projection'!$G$6*$A7</f>
        <v/>
      </c>
      <c r="D7" s="40">
        <f>2150*'Royalty Projection'!$G$6*$A7</f>
        <v/>
      </c>
      <c r="E7" s="40">
        <f>2400*'Royalty Projection'!$G$6*$A7</f>
        <v/>
      </c>
    </row>
    <row r="10" ht="15" customHeight="1" s="24">
      <c r="A10" s="26" t="inlineStr">
        <is>
          <t>ASP held at the projection Year-6 value. Base case (executed): 6.0% rate, 2,150 units.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2026-06-30T21:50:57Z</dcterms:created>
  <dcterms:modified xmlns:dcterms="http://purl.org/dc/terms/" xmlns:xsi="http://www.w3.org/2001/XMLSchema-instance" xsi:type="dcterms:W3CDTF">2026-07-01T12:26:48Z</dcterms:modified>
  <cp:revision>0</cp:revision>
</cp:coreProperties>
</file>