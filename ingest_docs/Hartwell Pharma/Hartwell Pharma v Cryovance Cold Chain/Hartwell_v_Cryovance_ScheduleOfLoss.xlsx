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edule of Los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<sst xmlns="http://schemas.openxmlformats.org/spreadsheetml/2006/main" count="34" uniqueCount="34">
  <si>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 xml:space="preserve">Hartwell Pharma Limited v Cryovance Cold Chain Limited</t>
  </si>
  <si>
    <t xml:space="preserve">Schedule of Loss  |  Claim No. CL-2026-000214  |  served 11 February 2026</t>
  </si>
  <si>
    <t xml:space="preserve">Ref</t>
  </si>
  <si>
    <t xml:space="preserve">Head of loss</t>
  </si>
  <si>
    <t xml:space="preserve">Basis / source</t>
  </si>
  <si>
    <t xml:space="preserve">Notes</t>
  </si>
  <si>
    <t xml:space="preserve">Amount (GBP)</t>
  </si>
  <si>
    <t xml:space="preserve">1</t>
  </si>
  <si>
    <t xml:space="preserve">Destroyed batch DS-2025-041 (HRX-118 DS)</t>
  </si>
  <si>
    <t xml:space="preserve">Hartwell standard cost record SCR-DS-041</t>
  </si>
  <si>
    <t xml:space="preserve">First Consignment, 14 Sep 2025; total loss</t>
  </si>
  <si>
    <t xml:space="preserve">2</t>
  </si>
  <si>
    <t xml:space="preserve">Destroyed batch DS-2025-047 (HRX-118 DS)</t>
  </si>
  <si>
    <t xml:space="preserve">Hartwell standard cost record SCR-DS-047</t>
  </si>
  <si>
    <t xml:space="preserve">Second Consignment, 9 Oct 2025; total loss</t>
  </si>
  <si>
    <t xml:space="preserve">3</t>
  </si>
  <si>
    <t xml:space="preserve">Re-manufacture &amp; expediting costs</t>
  </si>
  <si>
    <t xml:space="preserve">Manufacturing cost build-up MFG-2025-19</t>
  </si>
  <si>
    <t xml:space="preserve">Replacement campaign + expedited shipping to protect Phase II supply</t>
  </si>
  <si>
    <t xml:space="preserve">4</t>
  </si>
  <si>
    <t xml:space="preserve">QP investigation, quarantine &amp; controlled disposal</t>
  </si>
  <si>
    <t xml:space="preserve">QP cost memo QP-2025-118</t>
  </si>
  <si>
    <t xml:space="preserve">Out-of-spec assessment, quarantine handling, GDP-compliant destruction</t>
  </si>
  <si>
    <t xml:space="preserve">Sub-total: direct losses</t>
  </si>
  <si>
    <t xml:space="preserve">5</t>
  </si>
  <si>
    <t xml:space="preserve">Interest (s.35A SCA 1981)</t>
  </si>
  <si>
    <t xml:space="preserve">Simple interest, claim-issue basis</t>
  </si>
  <si>
    <t xml:space="preserve">5.0% p.a. from mid-incident date to 11 Feb 2026 (approx. 343 days)</t>
  </si>
  <si>
    <t xml:space="preserve">TOTAL CLAIMED</t>
  </si>
  <si>
    <t xml:space="preserve">Defendant's asserted liability cap (clause 11.3) — for comparison only</t>
  </si>
  <si>
    <t xml:space="preserve">Cap floor figure</t>
  </si>
  <si>
    <t xml:space="preserve">Charges paid in prior 12 months</t>
  </si>
  <si>
    <t xml:space="preserve">Cap = greater of the two</t>
  </si>
  <si>
    <t xml:space="preserve">Exposure above cap (if cap upheld)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</si>
</sst>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£#,##0;&quot;(£&quot;#,##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30"/>
    <col collapsed="false" customWidth="true" hidden="false" outlineLevel="0" max="4" min="4" style="0" width="40"/>
    <col collapsed="false" customWidth="true" hidden="false" outlineLevel="0" max="5" min="5" style="0" width="16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23.85" hidden="false" customHeight="false" outlineLevel="0" collapsed="false">
      <c r="A5" s="4" t="s">
        <v>7</v>
      </c>
      <c r="B5" s="4" t="s">
        <v>8</v>
      </c>
      <c r="C5" s="5" t="s">
        <v>9</v>
      </c>
      <c r="D5" s="5" t="s">
        <v>10</v>
      </c>
      <c r="E5" s="6" t="n">
        <v>1420000</v>
      </c>
    </row>
    <row r="6" customFormat="false" ht="23.85" hidden="false" customHeight="false" outlineLevel="0" collapsed="false">
      <c r="A6" s="4" t="s">
        <v>11</v>
      </c>
      <c r="B6" s="4" t="s">
        <v>12</v>
      </c>
      <c r="C6" s="5" t="s">
        <v>13</v>
      </c>
      <c r="D6" s="5" t="s">
        <v>14</v>
      </c>
      <c r="E6" s="6" t="n">
        <v>1165000</v>
      </c>
    </row>
    <row r="7" customFormat="false" ht="23.85" hidden="false" customHeight="false" outlineLevel="0" collapsed="false">
      <c r="A7" s="4" t="s">
        <v>15</v>
      </c>
      <c r="B7" s="4" t="s">
        <v>16</v>
      </c>
      <c r="C7" s="5" t="s">
        <v>17</v>
      </c>
      <c r="D7" s="5" t="s">
        <v>18</v>
      </c>
      <c r="E7" s="6" t="n">
        <v>612400</v>
      </c>
    </row>
    <row r="8" customFormat="false" ht="23.85" hidden="false" customHeight="false" outlineLevel="0" collapsed="false">
      <c r="A8" s="4" t="s">
        <v>19</v>
      </c>
      <c r="B8" s="4" t="s">
        <v>20</v>
      </c>
      <c r="C8" s="5" t="s">
        <v>21</v>
      </c>
      <c r="D8" s="5" t="s">
        <v>22</v>
      </c>
      <c r="E8" s="6" t="n">
        <v>88600</v>
      </c>
    </row>
    <row r="9" customFormat="false" ht="15" hidden="false" customHeight="false" outlineLevel="0" collapsed="false">
      <c r="A9" s="7"/>
      <c r="B9" s="8" t="s">
        <v>23</v>
      </c>
      <c r="C9" s="7"/>
      <c r="D9" s="7"/>
      <c r="E9" s="9" t="n">
        <f aca="false">SUM(E5:E8)</f>
        <v>3286000</v>
      </c>
    </row>
    <row r="10" customFormat="false" ht="23.85" hidden="false" customHeight="false" outlineLevel="0" collapsed="false">
      <c r="A10" s="4" t="s">
        <v>24</v>
      </c>
      <c r="B10" s="4" t="s">
        <v>25</v>
      </c>
      <c r="C10" s="4" t="s">
        <v>26</v>
      </c>
      <c r="D10" s="5" t="s">
        <v>27</v>
      </c>
      <c r="E10" s="10" t="n">
        <f aca="false">ROUND(E9*0.05*343/365,0)</f>
        <v>154397</v>
      </c>
    </row>
    <row r="11" customFormat="false" ht="15" hidden="false" customHeight="false" outlineLevel="0" collapsed="false">
      <c r="A11" s="11"/>
      <c r="B11" s="11" t="s">
        <v>28</v>
      </c>
      <c r="C11" s="11"/>
      <c r="D11" s="11"/>
      <c r="E11" s="12" t="n">
        <f aca="false">E9+E10</f>
        <v>3440397</v>
      </c>
    </row>
    <row r="14" customFormat="false" ht="15" hidden="false" customHeight="false" outlineLevel="0" collapsed="false">
      <c r="A14" s="13" t="s">
        <v>29</v>
      </c>
    </row>
    <row r="15" customFormat="false" ht="15" hidden="false" customHeight="false" outlineLevel="0" collapsed="false">
      <c r="B15" s="14" t="s">
        <v>30</v>
      </c>
      <c r="E15" s="15" t="n">
        <v>500000</v>
      </c>
    </row>
    <row r="16" customFormat="false" ht="15" hidden="false" customHeight="false" outlineLevel="0" collapsed="false">
      <c r="B16" s="14" t="s">
        <v>31</v>
      </c>
      <c r="E16" s="15" t="n">
        <v>430000</v>
      </c>
    </row>
    <row r="17" customFormat="false" ht="15" hidden="false" customHeight="false" outlineLevel="0" collapsed="false">
      <c r="B17" s="13" t="s">
        <v>32</v>
      </c>
      <c r="E17" s="16" t="n">
        <f aca="false">MAX(E15,E16)</f>
        <v>500000</v>
      </c>
    </row>
    <row r="18" customFormat="false" ht="15" hidden="false" customHeight="false" outlineLevel="0" collapsed="false">
      <c r="B18" s="14" t="s">
        <v>33</v>
      </c>
      <c r="E18" s="17" t="n">
        <f aca="false">E11-E17</f>
        <v>2940397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2026-06-29T19:50:35Z</dcterms:created>
  <dc:creator>openpyxl</dc:creator>
  <dc:description/>
  <dc:language>en-US</dc:language>
  <cp:lastModifiedBy/>
  <dcterms:modified xsi:type="dcterms:W3CDTF">2026-06-29T19:50:35Z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