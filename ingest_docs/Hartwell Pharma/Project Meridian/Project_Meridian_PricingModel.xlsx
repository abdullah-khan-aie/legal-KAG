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5-Year TCO" sheetId="2" state="visible" r:id="rId4"/>
    <sheet name="SOW Mileston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<sst xmlns="http://schemas.openxmlformats.org/spreadsheetml/2006/main" count="56" uniqueCount="54">
  <si>
    <t xml:space="preserve">PROJECT MERIDIAN — Sentvia Vigil™ Subscription</t>
  </si>
  <si>
    <t xml:space="preserve">Commercial Model &amp; Total Cost of Ownership (5-year view)</t>
  </si>
  <si>
    <t xml:space="preserve">Whitfield Carter LLP  |  Matter WC-00122  |  Prepared 28 January 2026</t>
  </si>
  <si>
    <t xml:space="preserve">Key assumptions</t>
  </si>
  <si>
    <t xml:space="preserve">Annual subscription (Year 1)</t>
  </si>
  <si>
    <t xml:space="preserve">Implementation / migration fixed fee (one-off)</t>
  </si>
  <si>
    <t xml:space="preserve">Annual uplift cap (negotiated, clause 6.6)</t>
  </si>
  <si>
    <t xml:space="preserve">Authorised users (Year 1)</t>
  </si>
  <si>
    <t xml:space="preserve">Additional user rate (per user p.a.)</t>
  </si>
  <si>
    <t xml:space="preserve">Forecast additional users from Year 2</t>
  </si>
  <si>
    <t xml:space="preserve">Premium support (24x7 P1/P2) add-on p.a.</t>
  </si>
  <si>
    <t xml:space="preserve">Discount applied to Year 1 subscription</t>
  </si>
  <si>
    <t xml:space="preserve">VAT rate</t>
  </si>
  <si>
    <t xml:space="preserve">Note: Blue cells are inputs. Annual subscription escalates at the lesser of the negotiated cap and CPI; modelled here at the cap.</t>
  </si>
  <si>
    <t xml:space="preserve">Five-Year Total Cost of Ownership</t>
  </si>
  <si>
    <t xml:space="preserve">Cost component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</si>
  <si>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</si>
  <si>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</si>
  <si>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</si>
  <si>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</si>
  <si>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</si>
  <si>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Total</t>
  </si>
  <si>
    <t xml:space="preserve">Platform subscription</t>
  </si>
  <si>
    <t xml:space="preserve">Additional user subscriptions</t>
  </si>
  <si>
    <t xml:space="preserve">Premium 24x7 support add-on</t>
  </si>
  <si>
    <t xml:space="preserve">Implementation &amp; migration (one-off)</t>
  </si>
  <si>
    <t xml:space="preserve">Subtotal (excl. VAT)</t>
  </si>
  <si>
    <t xml:space="preserve">VAT</t>
  </si>
  <si>
    <t xml:space="preserve">Total (incl. VAT)</t>
  </si>
  <si>
    <t xml:space="preserve">Contract value over 36-month initial term (subscription + implementation, excl. VAT):</t>
  </si>
  <si>
    <t xml:space="preserve">SOW-01 Implementation — Milestone Payment Schedule</t>
  </si>
  <si>
    <t xml:space="preserve">Ref</t>
  </si>
  <si>
    <t xml:space="preserve">Milestone</t>
  </si>
  <si>
    <t xml:space="preserve">Target date</t>
  </si>
  <si>
    <t xml:space="preserve">Fee (excl. VAT)</t>
  </si>
  <si>
    <t xml:space="preserve">M1</t>
  </si>
  <si>
    <t xml:space="preserve">Project Initiation &amp; Implementation Plan</t>
  </si>
  <si>
    <t xml:space="preserve">2025-12-15</t>
  </si>
  <si>
    <t xml:space="preserve">M2</t>
  </si>
  <si>
    <t xml:space="preserve">Environments provisioned (Prod/UAT/Sandbox)</t>
  </si>
  <si>
    <t xml:space="preserve">2026-01-09</t>
  </si>
  <si>
    <t xml:space="preserve">M3</t>
  </si>
  <si>
    <t xml:space="preserve">Configuration complete &amp; spec approved</t>
  </si>
  <si>
    <t xml:space="preserve">2026-02-06</t>
  </si>
  <si>
    <t xml:space="preserve">M4</t>
  </si>
  <si>
    <t xml:space="preserve">Data migration dry-run &amp; reconciliation</t>
  </si>
  <si>
    <t xml:space="preserve">2026-02-27</t>
  </si>
  <si>
    <t xml:space="preserve">M5</t>
  </si>
  <si>
    <t xml:space="preserve">CSV / validation pack (IQ/OQ/PQ)</t>
  </si>
  <si>
    <t xml:space="preserve">2026-03-13</t>
  </si>
  <si>
    <t xml:space="preserve">M6</t>
  </si>
  <si>
    <t xml:space="preserve">Go-live &amp; hypercare</t>
  </si>
  <si>
    <t xml:space="preserve">2026-03-27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</si>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</sst>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;&quot;(£&quot;#,##0\);\-"/>
    <numFmt numFmtId="166" formatCode="0.0%"/>
    <numFmt numFmtId="167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9"/>
      <color rgb="FF777777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5"/>
    </row>
    <row r="7" customFormat="false" ht="15" hidden="false" customHeight="false" outlineLevel="0" collapsed="false">
      <c r="B7" s="6" t="s">
        <v>4</v>
      </c>
      <c r="C7" s="7" t="n">
        <v>486000</v>
      </c>
    </row>
    <row r="8" customFormat="false" ht="15" hidden="false" customHeight="false" outlineLevel="0" collapsed="false">
      <c r="B8" s="6" t="s">
        <v>5</v>
      </c>
      <c r="C8" s="7" t="n">
        <v>145000</v>
      </c>
    </row>
    <row r="9" customFormat="false" ht="15" hidden="false" customHeight="false" outlineLevel="0" collapsed="false">
      <c r="B9" s="6" t="s">
        <v>6</v>
      </c>
      <c r="C9" s="8" t="n">
        <v>0.05</v>
      </c>
    </row>
    <row r="10" customFormat="false" ht="15" hidden="false" customHeight="false" outlineLevel="0" collapsed="false">
      <c r="B10" s="6" t="s">
        <v>7</v>
      </c>
      <c r="C10" s="9" t="n">
        <v>120</v>
      </c>
    </row>
    <row r="11" customFormat="false" ht="15" hidden="false" customHeight="false" outlineLevel="0" collapsed="false">
      <c r="B11" s="6" t="s">
        <v>8</v>
      </c>
      <c r="C11" s="7" t="n">
        <v>4050</v>
      </c>
    </row>
    <row r="12" customFormat="false" ht="15" hidden="false" customHeight="false" outlineLevel="0" collapsed="false">
      <c r="B12" s="6" t="s">
        <v>9</v>
      </c>
      <c r="C12" s="9" t="n">
        <v>15</v>
      </c>
    </row>
    <row r="13" customFormat="false" ht="15" hidden="false" customHeight="false" outlineLevel="0" collapsed="false">
      <c r="B13" s="6" t="s">
        <v>10</v>
      </c>
      <c r="C13" s="7" t="n">
        <v>38000</v>
      </c>
    </row>
    <row r="14" customFormat="false" ht="15" hidden="false" customHeight="false" outlineLevel="0" collapsed="false">
      <c r="B14" s="6" t="s">
        <v>11</v>
      </c>
      <c r="C14" s="8" t="n">
        <v>0.1</v>
      </c>
    </row>
    <row r="15" customFormat="false" ht="15" hidden="false" customHeight="false" outlineLevel="0" collapsed="false">
      <c r="B15" s="6" t="s">
        <v>12</v>
      </c>
      <c r="C15" s="8" t="n">
        <v>0.2</v>
      </c>
    </row>
    <row r="17" customFormat="false" ht="15" hidden="false" customHeight="false" outlineLevel="0" collapsed="false">
      <c r="B17" s="1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4"/>
    <col collapsed="false" customWidth="true" hidden="false" outlineLevel="0" max="8" min="3" style="0" width="14"/>
  </cols>
  <sheetData>
    <row r="2" customFormat="false" ht="16.15" hidden="false" customHeight="false" outlineLevel="0" collapsed="false">
      <c r="B2" s="11" t="s">
        <v>14</v>
      </c>
    </row>
    <row r="4" customFormat="false" ht="15" hidden="false" customHeight="false" outlineLevel="0" collapsed="false">
      <c r="B4" s="12" t="s">
        <v>15</v>
      </c>
      <c r="C4" s="12" t="s">
        <v>16</v>
      </c>
      <c r="D4" s="12" t="s">
        <v>17</v>
      </c>
      <c r="E4" s="12" t="s">
        <v>18</v>
      </c>
      <c r="F4" s="12" t="s">
        <v>19</v>
      </c>
      <c r="G4" s="12" t="s">
        <v>20</v>
      </c>
      <c r="H4" s="12" t="s">
        <v>21</v>
      </c>
    </row>
    <row r="5" customFormat="false" ht="15" hidden="false" customHeight="false" outlineLevel="0" collapsed="false">
      <c r="B5" s="6" t="s">
        <v>22</v>
      </c>
      <c r="C5" s="13" t="n">
        <f aca="false">Assumptions!$C$7*(1-Assumptions!$C$14)</f>
        <v>437400</v>
      </c>
      <c r="D5" s="13" t="n">
        <f aca="false">C5*(1+Assumptions!$C$9)</f>
        <v>459270</v>
      </c>
      <c r="E5" s="13" t="n">
        <f aca="false">D5*(1+Assumptions!$C$9)</f>
        <v>482233.5</v>
      </c>
      <c r="F5" s="13" t="n">
        <f aca="false">E5*(1+Assumptions!$C$9)</f>
        <v>506345.175</v>
      </c>
      <c r="G5" s="13" t="n">
        <f aca="false">F5*(1+Assumptions!$C$9)</f>
        <v>531662.43375</v>
      </c>
      <c r="H5" s="13" t="n">
        <f aca="false">SUM(C5:G5)</f>
        <v>2416911.10875</v>
      </c>
    </row>
    <row r="6" customFormat="false" ht="15" hidden="false" customHeight="false" outlineLevel="0" collapsed="false">
      <c r="B6" s="6" t="s">
        <v>23</v>
      </c>
      <c r="C6" s="13" t="n">
        <v>0</v>
      </c>
      <c r="D6" s="13" t="n">
        <f aca="false">Assumptions!$C$12*Assumptions!$C$11*(1+Assumptions!$C$9)^0</f>
        <v>60750</v>
      </c>
      <c r="E6" s="13" t="n">
        <f aca="false">Assumptions!$C$12*Assumptions!$C$11*(1+Assumptions!$C$9)^1</f>
        <v>63787.5</v>
      </c>
      <c r="F6" s="13" t="n">
        <f aca="false">Assumptions!$C$12*Assumptions!$C$11*(1+Assumptions!$C$9)^2</f>
        <v>66976.875</v>
      </c>
      <c r="G6" s="13" t="n">
        <f aca="false">Assumptions!$C$12*Assumptions!$C$11*(1+Assumptions!$C$9)^3</f>
        <v>70325.71875</v>
      </c>
      <c r="H6" s="13" t="n">
        <f aca="false">SUM(C6:G6)</f>
        <v>261840.09375</v>
      </c>
    </row>
    <row r="7" customFormat="false" ht="15" hidden="false" customHeight="false" outlineLevel="0" collapsed="false">
      <c r="B7" s="6" t="s">
        <v>24</v>
      </c>
      <c r="C7" s="13" t="n">
        <f aca="false">Assumptions!$C$13*(1+Assumptions!$C$9)^0</f>
        <v>38000</v>
      </c>
      <c r="D7" s="13" t="n">
        <f aca="false">Assumptions!$C$13*(1+Assumptions!$C$9)^1</f>
        <v>39900</v>
      </c>
      <c r="E7" s="13" t="n">
        <f aca="false">Assumptions!$C$13*(1+Assumptions!$C$9)^2</f>
        <v>41895</v>
      </c>
      <c r="F7" s="13" t="n">
        <f aca="false">Assumptions!$C$13*(1+Assumptions!$C$9)^3</f>
        <v>43989.75</v>
      </c>
      <c r="G7" s="13" t="n">
        <f aca="false">Assumptions!$C$13*(1+Assumptions!$C$9)^4</f>
        <v>46189.2375</v>
      </c>
      <c r="H7" s="13" t="n">
        <f aca="false">SUM(C7:G7)</f>
        <v>209973.9875</v>
      </c>
    </row>
    <row r="8" customFormat="false" ht="15" hidden="false" customHeight="false" outlineLevel="0" collapsed="false">
      <c r="B8" s="6" t="s">
        <v>25</v>
      </c>
      <c r="C8" s="13" t="n">
        <f aca="false">Assumptions!$C$8</f>
        <v>145000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f aca="false">SUM(C8:G8)</f>
        <v>145000</v>
      </c>
    </row>
    <row r="9" customFormat="false" ht="15" hidden="false" customHeight="false" outlineLevel="0" collapsed="false">
      <c r="B9" s="14" t="s">
        <v>26</v>
      </c>
      <c r="C9" s="15" t="n">
        <f aca="false">SUM(C5:C8)</f>
        <v>620400</v>
      </c>
      <c r="D9" s="15" t="n">
        <f aca="false">SUM(D5:D8)</f>
        <v>559920</v>
      </c>
      <c r="E9" s="15" t="n">
        <f aca="false">SUM(E5:E8)</f>
        <v>587916</v>
      </c>
      <c r="F9" s="15" t="n">
        <f aca="false">SUM(F5:F8)</f>
        <v>617311.8</v>
      </c>
      <c r="G9" s="15" t="n">
        <f aca="false">SUM(G5:G8)</f>
        <v>648177.39</v>
      </c>
      <c r="H9" s="15" t="n">
        <f aca="false">SUM(C9:G9)</f>
        <v>3033725.19</v>
      </c>
    </row>
    <row r="10" customFormat="false" ht="15" hidden="false" customHeight="false" outlineLevel="0" collapsed="false">
      <c r="B10" s="6" t="s">
        <v>27</v>
      </c>
      <c r="C10" s="13" t="n">
        <f aca="false">C9*Assumptions!$C$15</f>
        <v>124080</v>
      </c>
      <c r="D10" s="13" t="n">
        <f aca="false">D9*Assumptions!$C$15</f>
        <v>111984</v>
      </c>
      <c r="E10" s="13" t="n">
        <f aca="false">E9*Assumptions!$C$15</f>
        <v>117583.2</v>
      </c>
      <c r="F10" s="13" t="n">
        <f aca="false">F9*Assumptions!$C$15</f>
        <v>123462.36</v>
      </c>
      <c r="G10" s="13" t="n">
        <f aca="false">G9*Assumptions!$C$15</f>
        <v>129635.478</v>
      </c>
      <c r="H10" s="13" t="n">
        <f aca="false">SUM(C10:G10)</f>
        <v>606745.038</v>
      </c>
    </row>
    <row r="11" customFormat="false" ht="15" hidden="false" customHeight="false" outlineLevel="0" collapsed="false">
      <c r="B11" s="14" t="s">
        <v>28</v>
      </c>
      <c r="C11" s="15" t="n">
        <f aca="false">C9+C10</f>
        <v>744480</v>
      </c>
      <c r="D11" s="15" t="n">
        <f aca="false">D9+D10</f>
        <v>671904</v>
      </c>
      <c r="E11" s="15" t="n">
        <f aca="false">E9+E10</f>
        <v>705499.2</v>
      </c>
      <c r="F11" s="15" t="n">
        <f aca="false">F9+F10</f>
        <v>740774.16</v>
      </c>
      <c r="G11" s="15" t="n">
        <f aca="false">G9+G10</f>
        <v>777812.868</v>
      </c>
      <c r="H11" s="15" t="n">
        <f aca="false">SUM(C11:G11)</f>
        <v>3640470.228</v>
      </c>
    </row>
    <row r="13" customFormat="false" ht="15" hidden="false" customHeight="false" outlineLevel="0" collapsed="false">
      <c r="B13" s="16" t="s">
        <v>29</v>
      </c>
      <c r="F13" s="17" t="n">
        <f aca="false">SUM(C5:E5)+C8</f>
        <v>1523903.5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6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7" min="5" style="0" width="13"/>
  </cols>
  <sheetData>
    <row r="2" customFormat="false" ht="15" hidden="false" customHeight="false" outlineLevel="0" collapsed="false">
      <c r="B2" s="18" t="s">
        <v>30</v>
      </c>
    </row>
    <row r="4" customFormat="false" ht="26.85" hidden="false" customHeight="false" outlineLevel="0" collapsed="false">
      <c r="B4" s="12" t="s">
        <v>31</v>
      </c>
      <c r="C4" s="12" t="s">
        <v>32</v>
      </c>
      <c r="D4" s="12" t="s">
        <v>33</v>
      </c>
      <c r="E4" s="12" t="s">
        <v>34</v>
      </c>
      <c r="F4" s="12" t="s">
        <v>27</v>
      </c>
      <c r="G4" s="12" t="s">
        <v>21</v>
      </c>
    </row>
    <row r="5" customFormat="false" ht="15" hidden="false" customHeight="false" outlineLevel="0" collapsed="false">
      <c r="B5" s="6" t="s">
        <v>35</v>
      </c>
      <c r="C5" s="6" t="s">
        <v>36</v>
      </c>
      <c r="D5" s="6" t="s">
        <v>37</v>
      </c>
      <c r="E5" s="19" t="n">
        <v>21750</v>
      </c>
      <c r="F5" s="19" t="n">
        <f aca="false">E5*Assumptions!$C$15</f>
        <v>4350</v>
      </c>
      <c r="G5" s="19" t="n">
        <f aca="false">E5+F5</f>
        <v>26100</v>
      </c>
    </row>
    <row r="6" customFormat="false" ht="15" hidden="false" customHeight="false" outlineLevel="0" collapsed="false">
      <c r="B6" s="6" t="s">
        <v>38</v>
      </c>
      <c r="C6" s="6" t="s">
        <v>39</v>
      </c>
      <c r="D6" s="6" t="s">
        <v>40</v>
      </c>
      <c r="E6" s="19" t="n">
        <v>21750</v>
      </c>
      <c r="F6" s="19" t="n">
        <f aca="false">E6*Assumptions!$C$15</f>
        <v>4350</v>
      </c>
      <c r="G6" s="19" t="n">
        <f aca="false">E6+F6</f>
        <v>26100</v>
      </c>
    </row>
    <row r="7" customFormat="false" ht="15" hidden="false" customHeight="false" outlineLevel="0" collapsed="false">
      <c r="B7" s="6" t="s">
        <v>41</v>
      </c>
      <c r="C7" s="6" t="s">
        <v>42</v>
      </c>
      <c r="D7" s="6" t="s">
        <v>43</v>
      </c>
      <c r="E7" s="19" t="n">
        <v>29000</v>
      </c>
      <c r="F7" s="19" t="n">
        <f aca="false">E7*Assumptions!$C$15</f>
        <v>5800</v>
      </c>
      <c r="G7" s="19" t="n">
        <f aca="false">E7+F7</f>
        <v>34800</v>
      </c>
    </row>
    <row r="8" customFormat="false" ht="15" hidden="false" customHeight="false" outlineLevel="0" collapsed="false">
      <c r="B8" s="6" t="s">
        <v>44</v>
      </c>
      <c r="C8" s="6" t="s">
        <v>45</v>
      </c>
      <c r="D8" s="6" t="s">
        <v>46</v>
      </c>
      <c r="E8" s="19" t="n">
        <v>29000</v>
      </c>
      <c r="F8" s="19" t="n">
        <f aca="false">E8*Assumptions!$C$15</f>
        <v>5800</v>
      </c>
      <c r="G8" s="19" t="n">
        <f aca="false">E8+F8</f>
        <v>34800</v>
      </c>
    </row>
    <row r="9" customFormat="false" ht="15" hidden="false" customHeight="false" outlineLevel="0" collapsed="false">
      <c r="B9" s="6" t="s">
        <v>47</v>
      </c>
      <c r="C9" s="6" t="s">
        <v>48</v>
      </c>
      <c r="D9" s="6" t="s">
        <v>49</v>
      </c>
      <c r="E9" s="19" t="n">
        <v>21750</v>
      </c>
      <c r="F9" s="19" t="n">
        <f aca="false">E9*Assumptions!$C$15</f>
        <v>4350</v>
      </c>
      <c r="G9" s="19" t="n">
        <f aca="false">E9+F9</f>
        <v>26100</v>
      </c>
    </row>
    <row r="10" customFormat="false" ht="15" hidden="false" customHeight="false" outlineLevel="0" collapsed="false">
      <c r="B10" s="6" t="s">
        <v>50</v>
      </c>
      <c r="C10" s="6" t="s">
        <v>51</v>
      </c>
      <c r="D10" s="6" t="s">
        <v>52</v>
      </c>
      <c r="E10" s="19" t="n">
        <v>21750</v>
      </c>
      <c r="F10" s="19" t="n">
        <f aca="false">E10*Assumptions!$C$15</f>
        <v>4350</v>
      </c>
      <c r="G10" s="19" t="n">
        <f aca="false">E10+F10</f>
        <v>26100</v>
      </c>
    </row>
    <row r="11" customFormat="false" ht="15" hidden="false" customHeight="false" outlineLevel="0" collapsed="false">
      <c r="B11" s="20"/>
      <c r="C11" s="14" t="s">
        <v>53</v>
      </c>
      <c r="D11" s="20"/>
      <c r="E11" s="21" t="n">
        <f aca="false">SUM(E5:E10)</f>
        <v>145000</v>
      </c>
      <c r="F11" s="21" t="n">
        <f aca="false">SUM(F5:F10)</f>
        <v>29000</v>
      </c>
      <c r="G11" s="21" t="n">
        <f aca="false">SUM(G5:G10)</f>
        <v>174000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2026-06-25T16:44:17Z</dcterms:created>
  <dc:creator>openpyxl</dc:creator>
  <dc:description/>
  <dc:language>en-US</dc:language>
  <cp:lastModifiedBy/>
  <dcterms:modified xsi:type="dcterms:W3CDTF">2026-06-25T16:44:17Z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