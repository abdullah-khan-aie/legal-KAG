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al Summary" sheetId="1" state="visible" r:id="rId3"/>
    <sheet name="Milestones" sheetId="2" state="visible" r:id="rId4"/>
    <sheet name="Royalty Model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<sst xmlns="http://schemas.openxmlformats.org/spreadsheetml/2006/main" count="58" uniqueCount="52">
  <si>
    <t xml:space="preserve">Project Larkspur — Deal Economics</t>
  </si>
  <si>
    <t xml:space="preserve">Hartwell Pharma Limited in-licence of CAL-218 (KRAS G12D) from Calbryn Therapeutics Limited</t>
  </si>
  <si>
    <t xml:space="preserve">Execution version dated 14 November 2025. All figures £, exclusive of VAT.</t>
  </si>
  <si>
    <t xml:space="preserve">Consideration component</t>
  </si>
  <si>
    <t xml:space="preserve">Upfront fee</t>
  </si>
  <si>
    <t xml:space="preserve">Payable within 45 days of Effective Date (cl. 6.1)</t>
  </si>
  <si>
    <t xml:space="preserve">CAL-301 option exercise fee</t>
  </si>
  <si>
    <t xml:space="preserve">Payable on exercise within 18-month option period (cl. 6.2)</t>
  </si>
  <si>
    <t xml:space="preserve">Development &amp; regulatory milestones (max)</t>
  </si>
  <si>
    <t xml:space="preserve">Schedule 4, Part A</t>
  </si>
  <si>
    <t xml:space="preserve">Commercial (sales) milestones (max)</t>
  </si>
  <si>
    <t xml:space="preserve">Schedule 4, Part B</t>
  </si>
  <si>
    <t xml:space="preserve">Total milestones (max)</t>
  </si>
  <si>
    <t xml:space="preserve">Research collaboration funding (cap)</t>
  </si>
  <si>
    <t xml:space="preserve">Two-year programme, JSC-governed (cl. 4.3)</t>
  </si>
  <si>
    <t xml:space="preserve">Headline biobucks (upfront + option + total milestones)</t>
  </si>
  <si>
    <t xml:space="preserve">Royalty: tiered on Net Sales — 7% / 9% / 11% / 12% (see 'Royalty Model' sheet)</t>
  </si>
  <si>
    <t xml:space="preserve">Milestone Schedule (Schedule 4)</t>
  </si>
  <si>
    <t xml:space="preserve">#</t>
  </si>
  <si>
    <t xml:space="preserve">Milestone event</t>
  </si>
  <si>
    <t xml:space="preserve">Category</t>
  </si>
  <si>
    <t xml:space="preserve">Payment (£)</t>
  </si>
  <si>
    <t xml:space="preserve">Acceptance of first IND/CTA</t>
  </si>
  <si>
    <t xml:space="preserve">Development</t>
  </si>
  <si>
    <t xml:space="preserve">First patient dosed, first Phase II</t>
  </si>
  <si>
    <t xml:space="preserve">First patient dosed, first Phase III</t>
  </si>
  <si>
    <t xml:space="preserve">First Regulatory Approval — US</t>
  </si>
  <si>
    <t xml:space="preserve">Regulatory</t>
  </si>
  <si>
    <t xml:space="preserve">First Regulatory Approval — EU</t>
  </si>
  <si>
    <t xml:space="preserve">First Regulatory Approval — Japan</t>
  </si>
  <si>
    <t xml:space="preserve">Annual Net Sales first exceed £150m</t>
  </si>
  <si>
    <t xml:space="preserve">Sales</t>
  </si>
  <si>
    <t xml:space="preserve">Annual Net Sales first exceed £350m</t>
  </si>
  <si>
    <t xml:space="preserve">Annual Net Sales first exceed £600m</t>
  </si>
  <si>
    <t xml:space="preserve">Total (all milestones)</t>
  </si>
  <si>
    <t xml:space="preserve">Development &amp; regulatory subtotal</t>
  </si>
  <si>
    <t xml:space="preserve">Sales milestones subtotal</t>
  </si>
  <si>
    <t xml:space="preserve">Illustrative Tiered Royalty — single peak-sales year</t>
  </si>
  <si>
    <t xml:space="preserve">Tiers applied to annual Net Sales of a Licensed Product (cl. 6.5). Blue = input.</t>
  </si>
  <si>
    <t xml:space="preserve">Assumed annual Net Sales (£)</t>
  </si>
  <si>
    <t xml:space="preserve">Tier</t>
  </si>
  <si>
    <t xml:space="preserve">Lower (£)</t>
  </si>
  <si>
    <t xml:space="preserve">Upper (£)</t>
  </si>
  <si>
    <t xml:space="preserve">Rate</t>
  </si>
  <si>
    <t xml:space="preserve">Net Sales in tier (£)</t>
  </si>
  <si>
    <t xml:space="preserve">Royalty (£)</t>
  </si>
  <si>
    <t xml:space="preserve">Tier 1</t>
  </si>
  <si>
    <t xml:space="preserve">Tier 2</t>
  </si>
  <si>
    <t xml:space="preserve">Tier 3</t>
  </si>
  <si>
    <t xml:space="preserve">Tier 4</t>
  </si>
  <si>
    <t xml:space="preserve">Total</t>
  </si>
  <si>
    <t xml:space="preserve">Effective royalty rate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</si>
</sst>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£#,##0;&quot;(£&quot;#,##0\);\-"/>
    <numFmt numFmtId="166" formatCode="0.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name val="Arial"/>
      <family val="0"/>
      <charset val="1"/>
    </font>
    <font>
      <sz val="9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9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2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D5E8F0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D5E8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6"/>
    <col collapsed="false" customWidth="true" hidden="false" outlineLevel="0" max="3" min="3" style="0" width="4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 t="s">
        <v>3</v>
      </c>
      <c r="B5" s="4"/>
      <c r="C5" s="4"/>
    </row>
    <row r="6" customFormat="false" ht="15" hidden="false" customHeight="false" outlineLevel="0" collapsed="false">
      <c r="A6" s="5" t="s">
        <v>4</v>
      </c>
      <c r="B6" s="6" t="n">
        <v>8000000</v>
      </c>
      <c r="C6" s="7" t="s">
        <v>5</v>
      </c>
    </row>
    <row r="7" customFormat="false" ht="15" hidden="false" customHeight="false" outlineLevel="0" collapsed="false">
      <c r="A7" s="5" t="s">
        <v>6</v>
      </c>
      <c r="B7" s="6" t="n">
        <v>3000000</v>
      </c>
      <c r="C7" s="7" t="s">
        <v>7</v>
      </c>
    </row>
    <row r="8" customFormat="false" ht="15" hidden="false" customHeight="false" outlineLevel="0" collapsed="false">
      <c r="A8" s="5" t="s">
        <v>8</v>
      </c>
      <c r="B8" s="6" t="n">
        <v>42000000</v>
      </c>
      <c r="C8" s="7" t="s">
        <v>9</v>
      </c>
    </row>
    <row r="9" customFormat="false" ht="15" hidden="false" customHeight="false" outlineLevel="0" collapsed="false">
      <c r="A9" s="5" t="s">
        <v>10</v>
      </c>
      <c r="B9" s="6" t="n">
        <v>20000000</v>
      </c>
      <c r="C9" s="7" t="s">
        <v>11</v>
      </c>
    </row>
    <row r="10" customFormat="false" ht="15" hidden="false" customHeight="false" outlineLevel="0" collapsed="false">
      <c r="A10" s="8" t="s">
        <v>12</v>
      </c>
      <c r="B10" s="9" t="n">
        <f aca="false">B8+B9</f>
        <v>62000000</v>
      </c>
      <c r="C10" s="7"/>
    </row>
    <row r="11" customFormat="false" ht="15" hidden="false" customHeight="false" outlineLevel="0" collapsed="false">
      <c r="A11" s="5" t="s">
        <v>13</v>
      </c>
      <c r="B11" s="6" t="n">
        <v>2400000</v>
      </c>
      <c r="C11" s="7" t="s">
        <v>14</v>
      </c>
    </row>
    <row r="13" customFormat="false" ht="15" hidden="false" customHeight="false" outlineLevel="0" collapsed="false">
      <c r="A13" s="10" t="s">
        <v>15</v>
      </c>
      <c r="B13" s="11" t="n">
        <f aca="false">B6+B7+B10</f>
        <v>73000000</v>
      </c>
    </row>
    <row r="15" customFormat="false" ht="15" hidden="false" customHeight="false" outlineLevel="0" collapsed="false">
      <c r="A15" s="12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2"/>
    <col collapsed="false" customWidth="true" hidden="false" outlineLevel="0" max="4" min="3" style="0" width="16"/>
  </cols>
  <sheetData>
    <row r="1" customFormat="false" ht="15" hidden="false" customHeight="false" outlineLevel="0" collapsed="false">
      <c r="A1" s="13" t="s">
        <v>17</v>
      </c>
    </row>
    <row r="3" customFormat="false" ht="15" hidden="false" customHeight="false" outlineLevel="0" collapsed="false">
      <c r="A3" s="4" t="s">
        <v>18</v>
      </c>
      <c r="B3" s="4" t="s">
        <v>19</v>
      </c>
      <c r="C3" s="4" t="s">
        <v>20</v>
      </c>
      <c r="D3" s="4" t="s">
        <v>21</v>
      </c>
    </row>
    <row r="4" customFormat="false" ht="15" hidden="false" customHeight="false" outlineLevel="0" collapsed="false">
      <c r="A4" s="5" t="n">
        <v>1</v>
      </c>
      <c r="B4" s="5" t="s">
        <v>22</v>
      </c>
      <c r="C4" s="5" t="s">
        <v>23</v>
      </c>
      <c r="D4" s="6" t="n">
        <v>3000000</v>
      </c>
    </row>
    <row r="5" customFormat="false" ht="15" hidden="false" customHeight="false" outlineLevel="0" collapsed="false">
      <c r="A5" s="5" t="n">
        <v>2</v>
      </c>
      <c r="B5" s="5" t="s">
        <v>24</v>
      </c>
      <c r="C5" s="5" t="s">
        <v>23</v>
      </c>
      <c r="D5" s="6" t="n">
        <v>5000000</v>
      </c>
    </row>
    <row r="6" customFormat="false" ht="15" hidden="false" customHeight="false" outlineLevel="0" collapsed="false">
      <c r="A6" s="5" t="n">
        <v>3</v>
      </c>
      <c r="B6" s="5" t="s">
        <v>25</v>
      </c>
      <c r="C6" s="5" t="s">
        <v>23</v>
      </c>
      <c r="D6" s="6" t="n">
        <v>9000000</v>
      </c>
    </row>
    <row r="7" customFormat="false" ht="15" hidden="false" customHeight="false" outlineLevel="0" collapsed="false">
      <c r="A7" s="5" t="n">
        <v>4</v>
      </c>
      <c r="B7" s="5" t="s">
        <v>26</v>
      </c>
      <c r="C7" s="5" t="s">
        <v>27</v>
      </c>
      <c r="D7" s="6" t="n">
        <v>10000000</v>
      </c>
    </row>
    <row r="8" customFormat="false" ht="15" hidden="false" customHeight="false" outlineLevel="0" collapsed="false">
      <c r="A8" s="5" t="n">
        <v>5</v>
      </c>
      <c r="B8" s="5" t="s">
        <v>28</v>
      </c>
      <c r="C8" s="5" t="s">
        <v>27</v>
      </c>
      <c r="D8" s="6" t="n">
        <v>8000000</v>
      </c>
    </row>
    <row r="9" customFormat="false" ht="15" hidden="false" customHeight="false" outlineLevel="0" collapsed="false">
      <c r="A9" s="5" t="n">
        <v>6</v>
      </c>
      <c r="B9" s="5" t="s">
        <v>29</v>
      </c>
      <c r="C9" s="5" t="s">
        <v>27</v>
      </c>
      <c r="D9" s="6" t="n">
        <v>7000000</v>
      </c>
    </row>
    <row r="10" customFormat="false" ht="15" hidden="false" customHeight="false" outlineLevel="0" collapsed="false">
      <c r="A10" s="5" t="n">
        <v>7</v>
      </c>
      <c r="B10" s="5" t="s">
        <v>30</v>
      </c>
      <c r="C10" s="5" t="s">
        <v>31</v>
      </c>
      <c r="D10" s="6" t="n">
        <v>6000000</v>
      </c>
    </row>
    <row r="11" customFormat="false" ht="15" hidden="false" customHeight="false" outlineLevel="0" collapsed="false">
      <c r="A11" s="5" t="n">
        <v>8</v>
      </c>
      <c r="B11" s="5" t="s">
        <v>32</v>
      </c>
      <c r="C11" s="5" t="s">
        <v>31</v>
      </c>
      <c r="D11" s="6" t="n">
        <v>6000000</v>
      </c>
    </row>
    <row r="12" customFormat="false" ht="15" hidden="false" customHeight="false" outlineLevel="0" collapsed="false">
      <c r="A12" s="5" t="n">
        <v>9</v>
      </c>
      <c r="B12" s="5" t="s">
        <v>33</v>
      </c>
      <c r="C12" s="5" t="s">
        <v>31</v>
      </c>
      <c r="D12" s="6" t="n">
        <v>8000000</v>
      </c>
    </row>
    <row r="13" customFormat="false" ht="15" hidden="false" customHeight="false" outlineLevel="0" collapsed="false">
      <c r="B13" s="10" t="s">
        <v>34</v>
      </c>
      <c r="D13" s="11" t="n">
        <f aca="false">SUM(D4:D12)</f>
        <v>62000000</v>
      </c>
    </row>
    <row r="15" customFormat="false" ht="15" hidden="false" customHeight="false" outlineLevel="0" collapsed="false">
      <c r="B15" s="14" t="s">
        <v>35</v>
      </c>
      <c r="D15" s="15" t="n">
        <f aca="false">SUMIF(C4:C12,"Development",D4:D12)+SUMIF(C4:C12,"Regulatory",D4:D12)</f>
        <v>42000000</v>
      </c>
    </row>
    <row r="16" customFormat="false" ht="15" hidden="false" customHeight="false" outlineLevel="0" collapsed="false">
      <c r="B16" s="14" t="s">
        <v>36</v>
      </c>
      <c r="D16" s="15" t="n">
        <f aca="false">SUMIF(C4:C12,"Sales",D4:D12)</f>
        <v>20000000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16"/>
    <col collapsed="false" customWidth="true" hidden="false" outlineLevel="0" max="4" min="4" style="0" width="8"/>
    <col collapsed="false" customWidth="true" hidden="false" outlineLevel="0" max="5" min="5" style="0" width="18"/>
    <col collapsed="false" customWidth="true" hidden="false" outlineLevel="0" max="6" min="6" style="0" width="16"/>
  </cols>
  <sheetData>
    <row r="1" customFormat="false" ht="15" hidden="false" customHeight="false" outlineLevel="0" collapsed="false">
      <c r="A1" s="13" t="s">
        <v>37</v>
      </c>
    </row>
    <row r="2" customFormat="false" ht="15" hidden="false" customHeight="false" outlineLevel="0" collapsed="false">
      <c r="A2" s="3" t="s">
        <v>38</v>
      </c>
    </row>
    <row r="4" customFormat="false" ht="15" hidden="false" customHeight="false" outlineLevel="0" collapsed="false">
      <c r="A4" s="10" t="s">
        <v>39</v>
      </c>
      <c r="B4" s="16" t="n">
        <v>450000000</v>
      </c>
    </row>
    <row r="6" customFormat="false" ht="26.85" hidden="false" customHeight="false" outlineLevel="0" collapsed="false">
      <c r="A6" s="4" t="s">
        <v>40</v>
      </c>
      <c r="B6" s="4" t="s">
        <v>41</v>
      </c>
      <c r="C6" s="4" t="s">
        <v>42</v>
      </c>
      <c r="D6" s="4" t="s">
        <v>43</v>
      </c>
      <c r="E6" s="4" t="s">
        <v>44</v>
      </c>
      <c r="F6" s="4" t="s">
        <v>45</v>
      </c>
    </row>
    <row r="7" customFormat="false" ht="15" hidden="false" customHeight="false" outlineLevel="0" collapsed="false">
      <c r="A7" s="17" t="s">
        <v>46</v>
      </c>
      <c r="B7" s="6" t="n">
        <v>0</v>
      </c>
      <c r="C7" s="6" t="n">
        <v>100000000</v>
      </c>
      <c r="D7" s="18" t="n">
        <v>0.07</v>
      </c>
      <c r="E7" s="19" t="n">
        <f aca="false">MAX(0,MIN($B$4,C7)-B7)</f>
        <v>100000000</v>
      </c>
      <c r="F7" s="19" t="n">
        <f aca="false">E7*D7</f>
        <v>7000000</v>
      </c>
    </row>
    <row r="8" customFormat="false" ht="15" hidden="false" customHeight="false" outlineLevel="0" collapsed="false">
      <c r="A8" s="17" t="s">
        <v>47</v>
      </c>
      <c r="B8" s="6" t="n">
        <v>100000000</v>
      </c>
      <c r="C8" s="6" t="n">
        <v>300000000</v>
      </c>
      <c r="D8" s="18" t="n">
        <v>0.09</v>
      </c>
      <c r="E8" s="19" t="n">
        <f aca="false">MAX(0,MIN($B$4,C8)-B8)</f>
        <v>200000000</v>
      </c>
      <c r="F8" s="19" t="n">
        <f aca="false">E8*D8</f>
        <v>18000000</v>
      </c>
    </row>
    <row r="9" customFormat="false" ht="15" hidden="false" customHeight="false" outlineLevel="0" collapsed="false">
      <c r="A9" s="17" t="s">
        <v>48</v>
      </c>
      <c r="B9" s="6" t="n">
        <v>300000000</v>
      </c>
      <c r="C9" s="6" t="n">
        <v>500000000</v>
      </c>
      <c r="D9" s="18" t="n">
        <v>0.11</v>
      </c>
      <c r="E9" s="19" t="n">
        <f aca="false">MAX(0,MIN($B$4,C9)-B9)</f>
        <v>150000000</v>
      </c>
      <c r="F9" s="19" t="n">
        <f aca="false">E9*D9</f>
        <v>16500000</v>
      </c>
    </row>
    <row r="10" customFormat="false" ht="15" hidden="false" customHeight="false" outlineLevel="0" collapsed="false">
      <c r="A10" s="17" t="s">
        <v>49</v>
      </c>
      <c r="B10" s="6" t="n">
        <v>500000000</v>
      </c>
      <c r="C10" s="6"/>
      <c r="D10" s="18" t="n">
        <v>0.12</v>
      </c>
      <c r="E10" s="19" t="n">
        <f aca="false">MAX(0,$B$4-B10)</f>
        <v>0</v>
      </c>
      <c r="F10" s="19" t="n">
        <f aca="false">E10*D10</f>
        <v>0</v>
      </c>
    </row>
    <row r="11" customFormat="false" ht="15" hidden="false" customHeight="false" outlineLevel="0" collapsed="false">
      <c r="A11" s="10" t="s">
        <v>50</v>
      </c>
      <c r="E11" s="15" t="n">
        <f aca="false">SUM(E7:E10)</f>
        <v>450000000</v>
      </c>
      <c r="F11" s="11" t="n">
        <f aca="false">SUM(F7:F10)</f>
        <v>41500000</v>
      </c>
    </row>
    <row r="12" customFormat="false" ht="15" hidden="false" customHeight="false" outlineLevel="0" collapsed="false">
      <c r="A12" s="14" t="s">
        <v>51</v>
      </c>
      <c r="F12" s="20" t="n">
        <f aca="false">F11/B4</f>
        <v>0.0922222222222222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2026-06-30T21:10:33Z</dcterms:created>
  <dc:creator>openpyxl</dc:creator>
  <dc:description/>
  <dc:language>en-US</dc:language>
  <cp:lastModifiedBy/>
  <dcterms:modified xsi:type="dcterms:W3CDTF">2026-06-30T21:10:33Z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