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ent Schedule" sheetId="1" state="visible" r:id="rId3"/>
    <sheet name="FTO Watc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<sst xmlns="http://schemas.openxmlformats.org/spreadsheetml/2006/main" count="89" uniqueCount="72">
  <si>
    <t xml:space="preserve">Project Larkspur — Patent Schedule &amp; IP Index</t>
  </si>
  <si>
    <t xml:space="preserve">Licensed IP under the Exclusive Licence &amp; Research Collaboration Agreement (Schedule 1)</t>
  </si>
  <si>
    <t xml:space="preserve">Family</t>
  </si>
  <si>
    <t xml:space="preserve">Jurisdiction</t>
  </si>
  <si>
    <t xml:space="preserve">Application / Patent No.</t>
  </si>
  <si>
    <t xml:space="preserve">Title</t>
  </si>
  <si>
    <t xml:space="preserve">Filing / Priority date</t>
  </si>
  <si>
    <t xml:space="preserve">Status</t>
  </si>
  <si>
    <t xml:space="preserve">Next action / due date</t>
  </si>
  <si>
    <t xml:space="preserve">Notes</t>
  </si>
  <si>
    <t xml:space="preserve">CAL-218-A</t>
  </si>
  <si>
    <t xml:space="preserve">GB</t>
  </si>
  <si>
    <t xml:space="preserve">GB 2 184 221</t>
  </si>
  <si>
    <t xml:space="preserve">KRAS G12D inhibitory pyridopyrimidinones (composition)</t>
  </si>
  <si>
    <t xml:space="preserve">12 Mar 2021</t>
  </si>
  <si>
    <t xml:space="preserve">Granted</t>
  </si>
  <si>
    <t xml:space="preserve">Renewal 12 Mar 2026</t>
  </si>
  <si>
    <t xml:space="preserve">Core composition of matter</t>
  </si>
  <si>
    <t xml:space="preserve">EP</t>
  </si>
  <si>
    <t xml:space="preserve">EP 22 765 118.4</t>
  </si>
  <si>
    <t xml:space="preserve">KRAS G12D inhibitory pyridopyrimidinones</t>
  </si>
  <si>
    <t xml:space="preserve">Examination</t>
  </si>
  <si>
    <t xml:space="preserve">Response to observation; amended claims filed 2 Jun 2025</t>
  </si>
  <si>
    <t xml:space="preserve">Third-party observation (Mirati WO 2019/118822)</t>
  </si>
  <si>
    <t xml:space="preserve">US</t>
  </si>
  <si>
    <t xml:space="preserve">US 17/995,221</t>
  </si>
  <si>
    <t xml:space="preserve">Pending</t>
  </si>
  <si>
    <t xml:space="preserve">Office action response due 30 Jan 2026</t>
  </si>
  <si>
    <t xml:space="preserve">JP</t>
  </si>
  <si>
    <t xml:space="preserve">JP 2022-553110</t>
  </si>
  <si>
    <t xml:space="preserve">Request examination by 12 Mar 2026</t>
  </si>
  <si>
    <t xml:space="preserve">CAL-218-B</t>
  </si>
  <si>
    <t xml:space="preserve">GB 2 201 559</t>
  </si>
  <si>
    <t xml:space="preserve">Crystalline forms and salts of CAL-218</t>
  </si>
  <si>
    <t xml:space="preserve">4 Aug 2022</t>
  </si>
  <si>
    <t xml:space="preserve">Examination response due 9 Jan 2026</t>
  </si>
  <si>
    <t xml:space="preserve">Inventive-step objection on dependent claims only</t>
  </si>
  <si>
    <t xml:space="preserve">PCT</t>
  </si>
  <si>
    <t xml:space="preserve">PCT/GB2023/051998</t>
  </si>
  <si>
    <t xml:space="preserve">National phase pending</t>
  </si>
  <si>
    <t xml:space="preserve">National phase entry by 4 Feb 2025 (entered)</t>
  </si>
  <si>
    <t xml:space="preserve">CAL-218-C</t>
  </si>
  <si>
    <t xml:space="preserve">US 63/418,902</t>
  </si>
  <si>
    <t xml:space="preserve">Methods of treating KRAS-driven solid tumours</t>
  </si>
  <si>
    <t xml:space="preserve">21 Oct 2022</t>
  </si>
  <si>
    <t xml:space="preserve">PCT filed</t>
  </si>
  <si>
    <t xml:space="preserve">National phase entry by 21 Apr 2025</t>
  </si>
  <si>
    <t xml:space="preserve">CAL-301-A</t>
  </si>
  <si>
    <t xml:space="preserve">GB 2 209 880</t>
  </si>
  <si>
    <t xml:space="preserve">Allosteric KRAS modulators</t>
  </si>
  <si>
    <t xml:space="preserve">15 Jan 2023</t>
  </si>
  <si>
    <t xml:space="preserve">Examination request by 15 Jan 2027</t>
  </si>
  <si>
    <t xml:space="preserve">Option asset (CAL-301) — licensed only on option exercise</t>
  </si>
  <si>
    <t xml:space="preserve">Total patent assets in schedule</t>
  </si>
  <si>
    <t xml:space="preserve">Of which option asset (CAL-301)</t>
  </si>
  <si>
    <t xml:space="preserve">Freedom-to-Operate Watch List</t>
  </si>
  <si>
    <t xml:space="preserve">Third-party rights to monitor (per IP Due Diligence Report, section 6)</t>
  </si>
  <si>
    <t xml:space="preserve">Owner</t>
  </si>
  <si>
    <t xml:space="preserve">Reference</t>
  </si>
  <si>
    <t xml:space="preserve">Relevance</t>
  </si>
  <si>
    <t xml:space="preserve">Assessment</t>
  </si>
  <si>
    <t xml:space="preserve">Review trigger</t>
  </si>
  <si>
    <t xml:space="preserve">Amgen</t>
  </si>
  <si>
    <t xml:space="preserve">WO 2021/041671</t>
  </si>
  <si>
    <t xml:space="preserve">KRAS-targeting chemotype</t>
  </si>
  <si>
    <t xml:space="preserve">CAL-218 series falls outside granted/published claims</t>
  </si>
  <si>
    <t xml:space="preserve">Re-review on Amgen national-phase grants</t>
  </si>
  <si>
    <t xml:space="preserve">Boehringer Ingelheim</t>
  </si>
  <si>
    <t xml:space="preserve">EP 3 805 218</t>
  </si>
  <si>
    <t xml:space="preserve">KRAS inhibitor methods</t>
  </si>
  <si>
    <t xml:space="preserve">Outside claim scope on current analysis</t>
  </si>
  <si>
    <t xml:space="preserve">Re-review at CAL-218 candidate selection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</si>
</sst>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2.35" hidden="false" customHeight="false" outlineLevel="0" collapsed="false">
      <c r="A6" s="4" t="s">
        <v>10</v>
      </c>
      <c r="B6" s="4" t="s">
        <v>18</v>
      </c>
      <c r="C6" s="4" t="s">
        <v>19</v>
      </c>
      <c r="D6" s="4" t="s">
        <v>20</v>
      </c>
      <c r="E6" s="4" t="s">
        <v>14</v>
      </c>
      <c r="F6" s="4" t="s">
        <v>21</v>
      </c>
      <c r="G6" s="4" t="s">
        <v>22</v>
      </c>
      <c r="H6" s="4" t="s">
        <v>23</v>
      </c>
    </row>
    <row r="7" customFormat="false" ht="22.35" hidden="false" customHeight="false" outlineLevel="0" collapsed="false">
      <c r="A7" s="4" t="s">
        <v>10</v>
      </c>
      <c r="B7" s="4" t="s">
        <v>24</v>
      </c>
      <c r="C7" s="4" t="s">
        <v>25</v>
      </c>
      <c r="D7" s="4" t="s">
        <v>20</v>
      </c>
      <c r="E7" s="4" t="s">
        <v>14</v>
      </c>
      <c r="F7" s="4" t="s">
        <v>26</v>
      </c>
      <c r="G7" s="4" t="s">
        <v>27</v>
      </c>
      <c r="H7" s="4"/>
    </row>
    <row r="8" customFormat="false" ht="22.35" hidden="false" customHeight="false" outlineLevel="0" collapsed="false">
      <c r="A8" s="4" t="s">
        <v>10</v>
      </c>
      <c r="B8" s="4" t="s">
        <v>28</v>
      </c>
      <c r="C8" s="4" t="s">
        <v>29</v>
      </c>
      <c r="D8" s="4" t="s">
        <v>20</v>
      </c>
      <c r="E8" s="4" t="s">
        <v>14</v>
      </c>
      <c r="F8" s="4" t="s">
        <v>26</v>
      </c>
      <c r="G8" s="4" t="s">
        <v>30</v>
      </c>
      <c r="H8" s="4"/>
    </row>
    <row r="9" customFormat="false" ht="22.35" hidden="false" customHeight="false" outlineLevel="0" collapsed="false">
      <c r="A9" s="4" t="s">
        <v>31</v>
      </c>
      <c r="B9" s="4" t="s">
        <v>11</v>
      </c>
      <c r="C9" s="4" t="s">
        <v>32</v>
      </c>
      <c r="D9" s="4" t="s">
        <v>33</v>
      </c>
      <c r="E9" s="4" t="s">
        <v>34</v>
      </c>
      <c r="F9" s="4" t="s">
        <v>21</v>
      </c>
      <c r="G9" s="4" t="s">
        <v>35</v>
      </c>
      <c r="H9" s="4" t="s">
        <v>36</v>
      </c>
    </row>
    <row r="10" customFormat="false" ht="22.35" hidden="false" customHeight="false" outlineLevel="0" collapsed="false">
      <c r="A10" s="4" t="s">
        <v>31</v>
      </c>
      <c r="B10" s="4" t="s">
        <v>37</v>
      </c>
      <c r="C10" s="4" t="s">
        <v>38</v>
      </c>
      <c r="D10" s="4" t="s">
        <v>33</v>
      </c>
      <c r="E10" s="4" t="s">
        <v>34</v>
      </c>
      <c r="F10" s="4" t="s">
        <v>39</v>
      </c>
      <c r="G10" s="4" t="s">
        <v>40</v>
      </c>
      <c r="H10" s="4"/>
    </row>
    <row r="11" customFormat="false" ht="22.35" hidden="false" customHeight="false" outlineLevel="0" collapsed="false">
      <c r="A11" s="4" t="s">
        <v>41</v>
      </c>
      <c r="B11" s="4" t="s">
        <v>24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46</v>
      </c>
      <c r="H11" s="4"/>
    </row>
    <row r="12" customFormat="false" ht="22.35" hidden="false" customHeight="false" outlineLevel="0" collapsed="false">
      <c r="A12" s="4" t="s">
        <v>47</v>
      </c>
      <c r="B12" s="4" t="s">
        <v>11</v>
      </c>
      <c r="C12" s="4" t="s">
        <v>48</v>
      </c>
      <c r="D12" s="4" t="s">
        <v>49</v>
      </c>
      <c r="E12" s="4" t="s">
        <v>50</v>
      </c>
      <c r="F12" s="4" t="s">
        <v>26</v>
      </c>
      <c r="G12" s="4" t="s">
        <v>51</v>
      </c>
      <c r="H12" s="4" t="s">
        <v>52</v>
      </c>
    </row>
    <row r="14" customFormat="false" ht="15" hidden="false" customHeight="false" outlineLevel="0" collapsed="false">
      <c r="A14" s="5" t="s">
        <v>53</v>
      </c>
      <c r="C14" s="5" t="n">
        <f aca="false">COUNTA(A5:A12)</f>
        <v>8</v>
      </c>
    </row>
    <row r="15" customFormat="false" ht="15" hidden="false" customHeight="false" outlineLevel="0" collapsed="false">
      <c r="A15" s="6" t="s">
        <v>54</v>
      </c>
      <c r="C15" s="0" t="n">
        <f aca="false">COUNTIF(A5:A12,"CAL-301-A")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7" t="s">
        <v>55</v>
      </c>
    </row>
    <row r="2" customFormat="false" ht="15" hidden="false" customHeight="false" outlineLevel="0" collapsed="false">
      <c r="A2" s="8" t="s">
        <v>56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</row>
    <row r="5" customFormat="false" ht="22.35" hidden="false" customHeight="false" outlineLevel="0" collapsed="false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</row>
    <row r="6" customFormat="false" ht="15" hidden="false" customHeight="false" outlineLevel="0" collapsed="false">
      <c r="A6" s="4" t="s">
        <v>67</v>
      </c>
      <c r="B6" s="4" t="s">
        <v>68</v>
      </c>
      <c r="C6" s="4" t="s">
        <v>69</v>
      </c>
      <c r="D6" s="4" t="s">
        <v>70</v>
      </c>
      <c r="E6" s="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2026-06-30T21:10:33Z</dcterms:created>
  <dc:creator>openpyxl</dc:creator>
  <dc:description/>
  <dc:language>en-US</dc:language>
  <cp:lastModifiedBy/>
  <dcterms:modified xsi:type="dcterms:W3CDTF">2026-06-30T21:10:33Z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