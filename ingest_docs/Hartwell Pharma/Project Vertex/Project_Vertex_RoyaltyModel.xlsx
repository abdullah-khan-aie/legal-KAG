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oyalty Projection" sheetId="2" state="visible" r:id="rId2"/>
    <sheet xmlns:r="http://schemas.openxmlformats.org/officeDocument/2006/relationships" name="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i val="1"/>
      <color rgb="00808080"/>
      <sz val="9"/>
    </font>
    <font>
      <name val="Calibri"/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3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Project Vertex — Royalty &amp; Milestone Model (CBX-417)</t>
        </is>
      </c>
    </row>
    <row r="2">
      <c r="A2" s="2" t="inlineStr">
        <is>
          <t>Illustrative — Whitfield Carter LLP for Hartwell Pharma Limited | Confidential | 22 August 2025</t>
        </is>
      </c>
    </row>
    <row r="4">
      <c r="A4" s="3" t="inlineStr">
        <is>
          <t>Deal economics (Patent Licence Agreement)</t>
        </is>
      </c>
      <c r="B4" t="inlineStr"/>
    </row>
    <row r="5">
      <c r="A5" t="inlineStr">
        <is>
          <t>Upfront / signing fee (£)</t>
        </is>
      </c>
      <c r="B5" s="4" t="n">
        <v>6000000</v>
      </c>
    </row>
    <row r="6">
      <c r="A6" t="inlineStr">
        <is>
          <t>Development &amp; regulatory milestones — max (£)</t>
        </is>
      </c>
      <c r="B6" s="4" t="n">
        <v>24000000</v>
      </c>
    </row>
    <row r="7">
      <c r="A7" t="inlineStr">
        <is>
          <t>Sales milestones — max (£)</t>
        </is>
      </c>
      <c r="B7" s="4" t="n">
        <v>30000000</v>
      </c>
    </row>
    <row r="8">
      <c r="A8" t="inlineStr">
        <is>
          <t>Royalty tier 1 — net sales up to £50m</t>
        </is>
      </c>
      <c r="B8" s="5" t="n">
        <v>0.06</v>
      </c>
    </row>
    <row r="9">
      <c r="A9" t="inlineStr">
        <is>
          <t>Royalty tier 2 — net sales £50m–£150m</t>
        </is>
      </c>
      <c r="B9" s="5" t="n">
        <v>0.09</v>
      </c>
    </row>
    <row r="10">
      <c r="A10" t="inlineStr">
        <is>
          <t>Royalty tier 3 — net sales above £150m</t>
        </is>
      </c>
      <c r="B10" s="5" t="n">
        <v>0.12</v>
      </c>
    </row>
    <row r="11">
      <c r="A11" t="inlineStr">
        <is>
          <t>Discount rate (NPV)</t>
        </is>
      </c>
      <c r="B11" s="5" t="n">
        <v>0.1</v>
      </c>
    </row>
    <row r="12">
      <c r="A12" t="inlineStr">
        <is>
          <t>Assumed launch year</t>
        </is>
      </c>
      <c r="B12" t="inlineStr">
        <is>
          <t>2028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5" customWidth="1" min="4" max="4"/>
    <col width="15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Net sales &amp; tiered royalty projection (£)</t>
        </is>
      </c>
    </row>
    <row r="3">
      <c r="A3" s="6" t="inlineStr">
        <is>
          <t>Launch year</t>
        </is>
      </c>
      <c r="B3" s="6" t="inlineStr">
        <is>
          <t>Calendar year</t>
        </is>
      </c>
      <c r="C3" s="6" t="inlineStr">
        <is>
          <t>Forecast net sales</t>
        </is>
      </c>
      <c r="D3" s="6" t="inlineStr">
        <is>
          <t>Tier 1 royalty</t>
        </is>
      </c>
      <c r="E3" s="6" t="inlineStr">
        <is>
          <t>Tier 2 royalty</t>
        </is>
      </c>
      <c r="F3" s="6" t="inlineStr">
        <is>
          <t>Tier 3 royalty</t>
        </is>
      </c>
      <c r="G3" s="6" t="inlineStr">
        <is>
          <t>Total royalty</t>
        </is>
      </c>
      <c r="H3" s="6" t="inlineStr">
        <is>
          <t>Effective rate</t>
        </is>
      </c>
    </row>
    <row r="4">
      <c r="A4" s="7" t="n">
        <v>1</v>
      </c>
      <c r="B4" s="8" t="n">
        <v>2028</v>
      </c>
      <c r="C4" s="9" t="n">
        <v>8000000</v>
      </c>
      <c r="D4" s="9" t="n">
        <v>480000</v>
      </c>
      <c r="E4" s="9" t="n">
        <v>0</v>
      </c>
      <c r="F4" s="9" t="n">
        <v>0</v>
      </c>
      <c r="G4" s="9" t="n">
        <v>480000</v>
      </c>
      <c r="H4" s="10" t="n">
        <v>0.06</v>
      </c>
    </row>
    <row r="5">
      <c r="A5" s="7" t="n">
        <v>2</v>
      </c>
      <c r="B5" s="8" t="n">
        <v>2029</v>
      </c>
      <c r="C5" s="9" t="n">
        <v>22000000</v>
      </c>
      <c r="D5" s="9" t="n">
        <v>1320000</v>
      </c>
      <c r="E5" s="9" t="n">
        <v>0</v>
      </c>
      <c r="F5" s="9" t="n">
        <v>0</v>
      </c>
      <c r="G5" s="9" t="n">
        <v>1320000</v>
      </c>
      <c r="H5" s="10" t="n">
        <v>0.06</v>
      </c>
    </row>
    <row r="6">
      <c r="A6" s="7" t="n">
        <v>3</v>
      </c>
      <c r="B6" s="8" t="n">
        <v>2030</v>
      </c>
      <c r="C6" s="9" t="n">
        <v>48000000</v>
      </c>
      <c r="D6" s="9" t="n">
        <v>2880000</v>
      </c>
      <c r="E6" s="9" t="n">
        <v>0</v>
      </c>
      <c r="F6" s="9" t="n">
        <v>0</v>
      </c>
      <c r="G6" s="9" t="n">
        <v>2880000</v>
      </c>
      <c r="H6" s="10" t="n">
        <v>0.06</v>
      </c>
    </row>
    <row r="7">
      <c r="A7" s="7" t="n">
        <v>4</v>
      </c>
      <c r="B7" s="8" t="n">
        <v>2031</v>
      </c>
      <c r="C7" s="9" t="n">
        <v>85000000</v>
      </c>
      <c r="D7" s="9" t="n">
        <v>3000000</v>
      </c>
      <c r="E7" s="9" t="n">
        <v>3150000</v>
      </c>
      <c r="F7" s="9" t="n">
        <v>0</v>
      </c>
      <c r="G7" s="9" t="n">
        <v>6150000</v>
      </c>
      <c r="H7" s="10" t="n">
        <v>0.07235294117647059</v>
      </c>
    </row>
    <row r="8">
      <c r="A8" s="7" t="n">
        <v>5</v>
      </c>
      <c r="B8" s="8" t="n">
        <v>2032</v>
      </c>
      <c r="C8" s="9" t="n">
        <v>130000000</v>
      </c>
      <c r="D8" s="9" t="n">
        <v>3000000</v>
      </c>
      <c r="E8" s="9" t="n">
        <v>7200000</v>
      </c>
      <c r="F8" s="9" t="n">
        <v>0</v>
      </c>
      <c r="G8" s="9" t="n">
        <v>10200000</v>
      </c>
      <c r="H8" s="10" t="n">
        <v>0.07846153846153846</v>
      </c>
    </row>
    <row r="9">
      <c r="A9" s="7" t="n">
        <v>6</v>
      </c>
      <c r="B9" s="8" t="n">
        <v>2033</v>
      </c>
      <c r="C9" s="9" t="n">
        <v>175000000</v>
      </c>
      <c r="D9" s="9" t="n">
        <v>3000000</v>
      </c>
      <c r="E9" s="9" t="n">
        <v>9000000</v>
      </c>
      <c r="F9" s="9" t="n">
        <v>3000000</v>
      </c>
      <c r="G9" s="9" t="n">
        <v>15000000</v>
      </c>
      <c r="H9" s="10" t="n">
        <v>0.08571428571428572</v>
      </c>
    </row>
    <row r="10">
      <c r="A10" s="7" t="n">
        <v>7</v>
      </c>
      <c r="B10" s="8" t="n">
        <v>2034</v>
      </c>
      <c r="C10" s="9" t="n">
        <v>205000000</v>
      </c>
      <c r="D10" s="9" t="n">
        <v>3000000</v>
      </c>
      <c r="E10" s="9" t="n">
        <v>9000000</v>
      </c>
      <c r="F10" s="9" t="n">
        <v>6600000</v>
      </c>
      <c r="G10" s="9" t="n">
        <v>18600000</v>
      </c>
      <c r="H10" s="10" t="n">
        <v>0.09073170731707317</v>
      </c>
    </row>
    <row r="11">
      <c r="A11" s="7" t="n">
        <v>8</v>
      </c>
      <c r="B11" s="8" t="n">
        <v>2035</v>
      </c>
      <c r="C11" s="9" t="n">
        <v>220000000</v>
      </c>
      <c r="D11" s="9" t="n">
        <v>3000000</v>
      </c>
      <c r="E11" s="9" t="n">
        <v>9000000</v>
      </c>
      <c r="F11" s="9" t="n">
        <v>8400000</v>
      </c>
      <c r="G11" s="9" t="n">
        <v>20400000</v>
      </c>
      <c r="H11" s="10" t="n">
        <v>0.09272727272727273</v>
      </c>
    </row>
    <row r="12">
      <c r="A12" s="7" t="n">
        <v>9</v>
      </c>
      <c r="B12" s="8" t="n">
        <v>2036</v>
      </c>
      <c r="C12" s="9" t="n">
        <v>210000000</v>
      </c>
      <c r="D12" s="9" t="n">
        <v>3000000</v>
      </c>
      <c r="E12" s="9" t="n">
        <v>9000000</v>
      </c>
      <c r="F12" s="9" t="n">
        <v>7200000</v>
      </c>
      <c r="G12" s="9" t="n">
        <v>19200000</v>
      </c>
      <c r="H12" s="10" t="n">
        <v>0.09142857142857143</v>
      </c>
    </row>
    <row r="13">
      <c r="A13" s="7" t="n">
        <v>10</v>
      </c>
      <c r="B13" s="8" t="n">
        <v>2037</v>
      </c>
      <c r="C13" s="9" t="n">
        <v>150000000</v>
      </c>
      <c r="D13" s="9" t="n">
        <v>3000000</v>
      </c>
      <c r="E13" s="9" t="n">
        <v>9000000</v>
      </c>
      <c r="F13" s="9" t="n">
        <v>0</v>
      </c>
      <c r="G13" s="9" t="n">
        <v>12000000</v>
      </c>
      <c r="H13" s="10" t="n">
        <v>0.08</v>
      </c>
    </row>
    <row r="14">
      <c r="A14" s="3" t="inlineStr">
        <is>
          <t>Total</t>
        </is>
      </c>
      <c r="C14" s="11">
        <f>SUM(C4:C13)</f>
        <v/>
      </c>
      <c r="G14" s="11">
        <f>SUM(G4:G13)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Milestone payment schedule (£)</t>
        </is>
      </c>
    </row>
    <row r="3">
      <c r="A3" s="6" t="inlineStr">
        <is>
          <t>Ref</t>
        </is>
      </c>
      <c r="B3" s="6" t="inlineStr">
        <is>
          <t>Milestone event</t>
        </is>
      </c>
      <c r="C3" s="6" t="inlineStr">
        <is>
          <t>Type</t>
        </is>
      </c>
      <c r="D3" s="6" t="inlineStr">
        <is>
          <t>Payment (£)</t>
        </is>
      </c>
      <c r="E3" s="6" t="inlineStr">
        <is>
          <t>Expected year</t>
        </is>
      </c>
    </row>
    <row r="4">
      <c r="A4" s="7" t="inlineStr">
        <is>
          <t>M1</t>
        </is>
      </c>
      <c r="B4" s="7" t="inlineStr">
        <is>
          <t>Phase II trial initiation (CBX-417)</t>
        </is>
      </c>
      <c r="C4" s="7" t="inlineStr">
        <is>
          <t>Development</t>
        </is>
      </c>
      <c r="D4" s="9" t="n">
        <v>2000000</v>
      </c>
      <c r="E4" s="7" t="n">
        <v>2025</v>
      </c>
    </row>
    <row r="5">
      <c r="A5" s="7" t="inlineStr">
        <is>
          <t>M2</t>
        </is>
      </c>
      <c r="B5" s="7" t="inlineStr">
        <is>
          <t>Phase II primary endpoint met</t>
        </is>
      </c>
      <c r="C5" s="7" t="inlineStr">
        <is>
          <t>Development</t>
        </is>
      </c>
      <c r="D5" s="9" t="n">
        <v>4000000</v>
      </c>
      <c r="E5" s="7" t="n">
        <v>2026</v>
      </c>
    </row>
    <row r="6">
      <c r="A6" s="7" t="inlineStr">
        <is>
          <t>M3</t>
        </is>
      </c>
      <c r="B6" s="7" t="inlineStr">
        <is>
          <t>Phase III trial initiation</t>
        </is>
      </c>
      <c r="C6" s="7" t="inlineStr">
        <is>
          <t>Development</t>
        </is>
      </c>
      <c r="D6" s="9" t="n">
        <v>5000000</v>
      </c>
      <c r="E6" s="7" t="n">
        <v>2026</v>
      </c>
    </row>
    <row r="7">
      <c r="A7" s="7" t="inlineStr">
        <is>
          <t>M4</t>
        </is>
      </c>
      <c r="B7" s="7" t="inlineStr">
        <is>
          <t>First MAA/NDA acceptance for review</t>
        </is>
      </c>
      <c r="C7" s="7" t="inlineStr">
        <is>
          <t>Regulatory</t>
        </is>
      </c>
      <c r="D7" s="9" t="n">
        <v>4000000</v>
      </c>
      <c r="E7" s="7" t="n">
        <v>2027</v>
      </c>
    </row>
    <row r="8">
      <c r="A8" s="7" t="inlineStr">
        <is>
          <t>M5</t>
        </is>
      </c>
      <c r="B8" s="7" t="inlineStr">
        <is>
          <t>EMA marketing authorisation</t>
        </is>
      </c>
      <c r="C8" s="7" t="inlineStr">
        <is>
          <t>Regulatory</t>
        </is>
      </c>
      <c r="D8" s="9" t="n">
        <v>4500000</v>
      </c>
      <c r="E8" s="7" t="n">
        <v>2028</v>
      </c>
    </row>
    <row r="9">
      <c r="A9" s="7" t="inlineStr">
        <is>
          <t>M6</t>
        </is>
      </c>
      <c r="B9" s="7" t="inlineStr">
        <is>
          <t>FDA approval</t>
        </is>
      </c>
      <c r="C9" s="7" t="inlineStr">
        <is>
          <t>Regulatory</t>
        </is>
      </c>
      <c r="D9" s="9" t="n">
        <v>4500000</v>
      </c>
      <c r="E9" s="7" t="n">
        <v>2028</v>
      </c>
    </row>
    <row r="10">
      <c r="A10" s="7" t="inlineStr">
        <is>
          <t>S1</t>
        </is>
      </c>
      <c r="B10" s="7" t="inlineStr">
        <is>
          <t>Annual net sales first exceed £50m</t>
        </is>
      </c>
      <c r="C10" s="7" t="inlineStr">
        <is>
          <t>Sales</t>
        </is>
      </c>
      <c r="D10" s="9" t="n">
        <v>6000000</v>
      </c>
      <c r="E10" s="7" t="n">
        <v>2030</v>
      </c>
    </row>
    <row r="11">
      <c r="A11" s="7" t="inlineStr">
        <is>
          <t>S2</t>
        </is>
      </c>
      <c r="B11" s="7" t="inlineStr">
        <is>
          <t>Annual net sales first exceed £100m</t>
        </is>
      </c>
      <c r="C11" s="7" t="inlineStr">
        <is>
          <t>Sales</t>
        </is>
      </c>
      <c r="D11" s="9" t="n">
        <v>9000000</v>
      </c>
      <c r="E11" s="7" t="n">
        <v>2031</v>
      </c>
    </row>
    <row r="12">
      <c r="A12" s="7" t="inlineStr">
        <is>
          <t>S3</t>
        </is>
      </c>
      <c r="B12" s="7" t="inlineStr">
        <is>
          <t>Annual net sales first exceed £200m</t>
        </is>
      </c>
      <c r="C12" s="7" t="inlineStr">
        <is>
          <t>Sales</t>
        </is>
      </c>
      <c r="D12" s="9" t="n">
        <v>15000000</v>
      </c>
      <c r="E12" s="7" t="n">
        <v>2033</v>
      </c>
    </row>
    <row r="14">
      <c r="B14" t="inlineStr">
        <is>
          <t>Dev &amp; regulatory subtotal (max)</t>
        </is>
      </c>
      <c r="D14" s="4" t="n">
        <v>24000000</v>
      </c>
    </row>
    <row r="15">
      <c r="B15" t="inlineStr">
        <is>
          <t>Sales milestones subtotal (max)</t>
        </is>
      </c>
      <c r="D15" s="4" t="n">
        <v>30000000</v>
      </c>
    </row>
    <row r="16">
      <c r="B16" t="inlineStr">
        <is>
          <t>Upfront / signing fee</t>
        </is>
      </c>
      <c r="D16" s="4" t="n">
        <v>6000000</v>
      </c>
    </row>
    <row r="17">
      <c r="B17" s="3" t="inlineStr">
        <is>
          <t>Total non-royalty consideration (max)</t>
        </is>
      </c>
      <c r="D17" s="11" t="n">
        <v>60000000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2026-06-10T20:06:39Z</dcterms:created>
  <dcterms:modified xmlns:dcterms="http://purl.org/dc/terms/" xmlns:xsi="http://www.w3.org/2001/XMLSchema-instance" xsi:type="dcterms:W3CDTF">2026-06-10T20:06:39Z</dcterms:modified>
</cp:coreProperties>
</file>