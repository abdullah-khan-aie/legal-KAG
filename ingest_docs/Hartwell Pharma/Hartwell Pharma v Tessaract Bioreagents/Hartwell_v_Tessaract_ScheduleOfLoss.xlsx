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<sst xmlns="http://schemas.openxmlformats.org/spreadsheetml/2006/main" count="58" uniqueCount="58">
  <si>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HARTWELL PHARMA LIMITED v TESSARACT BIOREAGENTS LIMITED</t>
  </si>
  <si>
    <t xml:space="preserve">Claim No. CL-2026-000118  —  Schedule of Loss (served with Particulars of Claim, 16 January 2026; updated 6 March 2026)</t>
  </si>
  <si>
    <t xml:space="preserve">All figures in £ sterling, exclusive of VAT and interest. Sources: Hartwell cost ledger; OOS-2025-037; supplier invoices.</t>
  </si>
  <si>
    <t xml:space="preserve">Ref</t>
  </si>
  <si>
    <t xml:space="preserve">Head of loss</t>
  </si>
  <si>
    <t xml:space="preserve">Description / basis</t>
  </si>
  <si>
    <t xml:space="preserve">Qty / basis</t>
  </si>
  <si>
    <t xml:space="preserve">Unit rate (£)</t>
  </si>
  <si>
    <t xml:space="preserve">Amount (£)</t>
  </si>
  <si>
    <t xml:space="preserve">1</t>
  </si>
  <si>
    <t xml:space="preserve">Wasted manufacturing &amp; analytical costs — lot DP-2025-114</t>
  </si>
  <si>
    <t xml:space="preserve">1.1</t>
  </si>
  <si>
    <t xml:space="preserve">API consumed in failed lot (batch TX-HX218-0461, 3.2 kg)</t>
  </si>
  <si>
    <t xml:space="preserve">1.2</t>
  </si>
  <si>
    <t xml:space="preserve">GMP manufacturing suite occupancy &amp; labour (campaign 1)</t>
  </si>
  <si>
    <t xml:space="preserve">1.3</t>
  </si>
  <si>
    <t xml:space="preserve">In-process &amp; release analytical testing (failed lot)</t>
  </si>
  <si>
    <t xml:space="preserve">1.4</t>
  </si>
  <si>
    <t xml:space="preserve">Stability chamber allocation &amp; timepoints (written off)</t>
  </si>
  <si>
    <t xml:space="preserve">1.5</t>
  </si>
  <si>
    <t xml:space="preserve">Excipients, consumables &amp; single-use components</t>
  </si>
  <si>
    <t xml:space="preserve">1.6</t>
  </si>
  <si>
    <t xml:space="preserve">Other directly-attributable campaign overheads (written off)</t>
  </si>
  <si>
    <t xml:space="preserve">Subtotal — Head 1</t>
  </si>
  <si>
    <t xml:space="preserve">2</t>
  </si>
  <si>
    <t xml:space="preserve">Replacement API &amp; repeat manufacturing campaign</t>
  </si>
  <si>
    <t xml:space="preserve">2.1</t>
  </si>
  <si>
    <t xml:space="preserve">Replacement API procured from alternative supplier (3.4 kg)</t>
  </si>
  <si>
    <t xml:space="preserve">2.2</t>
  </si>
  <si>
    <t xml:space="preserve">Expedited qualification &amp; incoming testing of replacement API</t>
  </si>
  <si>
    <t xml:space="preserve">2.3</t>
  </si>
  <si>
    <t xml:space="preserve">Repeat GMP manufacturing campaign (campaign 2)</t>
  </si>
  <si>
    <t xml:space="preserve">2.4</t>
  </si>
  <si>
    <t xml:space="preserve">Repeat analytical, release &amp; stability testing</t>
  </si>
  <si>
    <t xml:space="preserve">Subtotal — Head 2</t>
  </si>
  <si>
    <t xml:space="preserve">3</t>
  </si>
  <si>
    <t xml:space="preserve">Clinical-site standby, re-mobilisation &amp; study delay</t>
  </si>
  <si>
    <t xml:space="preserve">3.1</t>
  </si>
  <si>
    <t xml:space="preserve">Clinical-site standby fees (7 sites x 3 months)</t>
  </si>
  <si>
    <t xml:space="preserve">3.2</t>
  </si>
  <si>
    <t xml:space="preserve">Re-mobilisation &amp; re-training across sites</t>
  </si>
  <si>
    <t xml:space="preserve">3.3</t>
  </si>
  <si>
    <t xml:space="preserve">CRO project management — delay period</t>
  </si>
  <si>
    <t xml:space="preserve">3.4</t>
  </si>
  <si>
    <t xml:space="preserve">Study-delay, re-mobilisation &amp; additional logistics</t>
  </si>
  <si>
    <t xml:space="preserve">Subtotal — Head 3</t>
  </si>
  <si>
    <t xml:space="preserve">4</t>
  </si>
  <si>
    <t xml:space="preserve">Investigation, OOS &amp; independent testing</t>
  </si>
  <si>
    <t xml:space="preserve">4.1</t>
  </si>
  <si>
    <t xml:space="preserve">Internal OOS-2025-037 investigation (QA/QC labour)</t>
  </si>
  <si>
    <t xml:space="preserve">4.2</t>
  </si>
  <si>
    <t xml:space="preserve">Wraysbury Materials Laboratory independent confirmatory testing</t>
  </si>
  <si>
    <t xml:space="preserve">4.3</t>
  </si>
  <si>
    <t xml:space="preserve">Impurity characterisation &amp; method work</t>
  </si>
  <si>
    <t xml:space="preserve">Subtotal — Head 4</t>
  </si>
  <si>
    <t xml:space="preserve">TOTAL PRINCIPAL CLAIM</t>
  </si>
  <si>
    <t xml:space="preserve">Interest (s.35A Senior Courts Act 1981, to be assessed — illustrative at 8% simple from 2 Sep 2025)</t>
  </si>
  <si>
    <t xml:space="preserve">Note: as served 16 Jan 2026, total £3,171,950. Counsel's amendment of 6 Mar 2026 uplifts Head 3 by £30,000 (extended site-standby), giving a revised principal claim of £3,201,950 pleaded in the amended Particulars.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</si>
</sst>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\£#,##0;&quot;(£&quot;#,##0\)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5"/>
      <c r="D6" s="5"/>
      <c r="E6" s="5"/>
      <c r="F6" s="5"/>
    </row>
    <row r="7" customFormat="false" ht="23.85" hidden="false" customHeight="false" outlineLevel="0" collapsed="false">
      <c r="A7" s="6" t="s">
        <v>11</v>
      </c>
      <c r="B7" s="7" t="s">
        <v>12</v>
      </c>
      <c r="C7" s="6"/>
      <c r="D7" s="8" t="n">
        <v>3.2</v>
      </c>
      <c r="E7" s="9" t="n">
        <v>78500</v>
      </c>
      <c r="F7" s="10" t="n">
        <f aca="false">D7*E7</f>
        <v>251200</v>
      </c>
    </row>
    <row r="8" customFormat="false" ht="23.85" hidden="false" customHeight="false" outlineLevel="0" collapsed="false">
      <c r="A8" s="6" t="s">
        <v>13</v>
      </c>
      <c r="B8" s="7" t="s">
        <v>14</v>
      </c>
      <c r="C8" s="6"/>
      <c r="D8" s="8" t="n">
        <v>22</v>
      </c>
      <c r="E8" s="9" t="n">
        <v>24600</v>
      </c>
      <c r="F8" s="10" t="n">
        <f aca="false">D8*E8</f>
        <v>541200</v>
      </c>
    </row>
    <row r="9" customFormat="false" ht="23.85" hidden="false" customHeight="false" outlineLevel="0" collapsed="false">
      <c r="A9" s="6" t="s">
        <v>15</v>
      </c>
      <c r="B9" s="7" t="s">
        <v>16</v>
      </c>
      <c r="C9" s="6"/>
      <c r="D9" s="8" t="n">
        <v>1</v>
      </c>
      <c r="E9" s="9" t="n">
        <v>196400</v>
      </c>
      <c r="F9" s="10" t="n">
        <f aca="false">D9*E9</f>
        <v>196400</v>
      </c>
    </row>
    <row r="10" customFormat="false" ht="23.85" hidden="false" customHeight="false" outlineLevel="0" collapsed="false">
      <c r="A10" s="6" t="s">
        <v>17</v>
      </c>
      <c r="B10" s="7" t="s">
        <v>18</v>
      </c>
      <c r="C10" s="6"/>
      <c r="D10" s="8" t="n">
        <v>1</v>
      </c>
      <c r="E10" s="9" t="n">
        <v>141200</v>
      </c>
      <c r="F10" s="10" t="n">
        <f aca="false">D10*E10</f>
        <v>141200</v>
      </c>
    </row>
    <row r="11" customFormat="false" ht="23.85" hidden="false" customHeight="false" outlineLevel="0" collapsed="false">
      <c r="A11" s="6" t="s">
        <v>19</v>
      </c>
      <c r="B11" s="7" t="s">
        <v>20</v>
      </c>
      <c r="C11" s="6"/>
      <c r="D11" s="8" t="n">
        <v>1</v>
      </c>
      <c r="E11" s="9" t="n">
        <v>18900</v>
      </c>
      <c r="F11" s="10" t="n">
        <f aca="false">D11*E11</f>
        <v>18900</v>
      </c>
    </row>
    <row r="12" customFormat="false" ht="23.85" hidden="false" customHeight="false" outlineLevel="0" collapsed="false">
      <c r="A12" s="6" t="s">
        <v>21</v>
      </c>
      <c r="B12" s="7" t="s">
        <v>22</v>
      </c>
      <c r="C12" s="6"/>
      <c r="D12" s="8" t="n">
        <v>1</v>
      </c>
      <c r="E12" s="9" t="n">
        <v>135600</v>
      </c>
      <c r="F12" s="10" t="n">
        <f aca="false">D12*E12</f>
        <v>135600</v>
      </c>
    </row>
    <row r="13" customFormat="false" ht="15" hidden="false" customHeight="false" outlineLevel="0" collapsed="false">
      <c r="A13" s="11"/>
      <c r="B13" s="12" t="s">
        <v>23</v>
      </c>
      <c r="C13" s="11"/>
      <c r="D13" s="11"/>
      <c r="E13" s="11"/>
      <c r="F13" s="13" t="n">
        <f aca="false">SUM(F7:F12)</f>
        <v>1284500</v>
      </c>
    </row>
    <row r="15" customFormat="false" ht="15" hidden="false" customHeight="false" outlineLevel="0" collapsed="false">
      <c r="A15" s="4" t="s">
        <v>24</v>
      </c>
      <c r="B15" s="4" t="s">
        <v>25</v>
      </c>
      <c r="C15" s="5"/>
      <c r="D15" s="5"/>
      <c r="E15" s="5"/>
      <c r="F15" s="5"/>
    </row>
    <row r="16" customFormat="false" ht="23.85" hidden="false" customHeight="false" outlineLevel="0" collapsed="false">
      <c r="A16" s="6" t="s">
        <v>26</v>
      </c>
      <c r="B16" s="7" t="s">
        <v>27</v>
      </c>
      <c r="C16" s="6"/>
      <c r="D16" s="8" t="n">
        <v>3.4</v>
      </c>
      <c r="E16" s="9" t="n">
        <v>92000</v>
      </c>
      <c r="F16" s="10" t="n">
        <f aca="false">D16*E16</f>
        <v>312800</v>
      </c>
    </row>
    <row r="17" customFormat="false" ht="23.85" hidden="false" customHeight="false" outlineLevel="0" collapsed="false">
      <c r="A17" s="6" t="s">
        <v>28</v>
      </c>
      <c r="B17" s="7" t="s">
        <v>29</v>
      </c>
      <c r="C17" s="6"/>
      <c r="D17" s="8" t="n">
        <v>1</v>
      </c>
      <c r="E17" s="9" t="n">
        <v>58400</v>
      </c>
      <c r="F17" s="10" t="n">
        <f aca="false">D17*E17</f>
        <v>58400</v>
      </c>
    </row>
    <row r="18" customFormat="false" ht="23.85" hidden="false" customHeight="false" outlineLevel="0" collapsed="false">
      <c r="A18" s="6" t="s">
        <v>30</v>
      </c>
      <c r="B18" s="7" t="s">
        <v>31</v>
      </c>
      <c r="C18" s="6"/>
      <c r="D18" s="8" t="n">
        <v>11</v>
      </c>
      <c r="E18" s="9" t="n">
        <v>26900</v>
      </c>
      <c r="F18" s="10" t="n">
        <f aca="false">D18*E18</f>
        <v>295900</v>
      </c>
    </row>
    <row r="19" customFormat="false" ht="23.85" hidden="false" customHeight="false" outlineLevel="0" collapsed="false">
      <c r="A19" s="6" t="s">
        <v>32</v>
      </c>
      <c r="B19" s="7" t="s">
        <v>33</v>
      </c>
      <c r="C19" s="6"/>
      <c r="D19" s="8" t="n">
        <v>1</v>
      </c>
      <c r="E19" s="9" t="n">
        <v>75200</v>
      </c>
      <c r="F19" s="10" t="n">
        <f aca="false">D19*E19</f>
        <v>75200</v>
      </c>
    </row>
    <row r="20" customFormat="false" ht="15" hidden="false" customHeight="false" outlineLevel="0" collapsed="false">
      <c r="A20" s="11"/>
      <c r="B20" s="12" t="s">
        <v>34</v>
      </c>
      <c r="C20" s="11"/>
      <c r="D20" s="11"/>
      <c r="E20" s="11"/>
      <c r="F20" s="13" t="n">
        <f aca="false">SUM(F16:F19)</f>
        <v>742300</v>
      </c>
    </row>
    <row r="22" customFormat="false" ht="15" hidden="false" customHeight="false" outlineLevel="0" collapsed="false">
      <c r="A22" s="4" t="s">
        <v>35</v>
      </c>
      <c r="B22" s="4" t="s">
        <v>36</v>
      </c>
      <c r="C22" s="5"/>
      <c r="D22" s="5"/>
      <c r="E22" s="5"/>
      <c r="F22" s="5"/>
    </row>
    <row r="23" customFormat="false" ht="23.85" hidden="false" customHeight="false" outlineLevel="0" collapsed="false">
      <c r="A23" s="6" t="s">
        <v>37</v>
      </c>
      <c r="B23" s="7" t="s">
        <v>38</v>
      </c>
      <c r="C23" s="6"/>
      <c r="D23" s="14" t="n">
        <v>21</v>
      </c>
      <c r="E23" s="9" t="n">
        <v>18200</v>
      </c>
      <c r="F23" s="10" t="n">
        <f aca="false">D23*E23</f>
        <v>382200</v>
      </c>
    </row>
    <row r="24" customFormat="false" ht="23.85" hidden="false" customHeight="false" outlineLevel="0" collapsed="false">
      <c r="A24" s="6" t="s">
        <v>39</v>
      </c>
      <c r="B24" s="7" t="s">
        <v>40</v>
      </c>
      <c r="C24" s="6"/>
      <c r="D24" s="14" t="n">
        <v>7</v>
      </c>
      <c r="E24" s="9" t="n">
        <v>21400</v>
      </c>
      <c r="F24" s="10" t="n">
        <f aca="false">D24*E24</f>
        <v>149800</v>
      </c>
    </row>
    <row r="25" customFormat="false" ht="23.85" hidden="false" customHeight="false" outlineLevel="0" collapsed="false">
      <c r="A25" s="6" t="s">
        <v>41</v>
      </c>
      <c r="B25" s="7" t="s">
        <v>42</v>
      </c>
      <c r="C25" s="6"/>
      <c r="D25" s="14" t="n">
        <v>4</v>
      </c>
      <c r="E25" s="9" t="n">
        <v>46800</v>
      </c>
      <c r="F25" s="10" t="n">
        <f aca="false">D25*E25</f>
        <v>187200</v>
      </c>
    </row>
    <row r="26" customFormat="false" ht="23.85" hidden="false" customHeight="false" outlineLevel="0" collapsed="false">
      <c r="A26" s="6" t="s">
        <v>43</v>
      </c>
      <c r="B26" s="7" t="s">
        <v>44</v>
      </c>
      <c r="C26" s="6"/>
      <c r="D26" s="14" t="n">
        <v>1</v>
      </c>
      <c r="E26" s="9" t="n">
        <v>239200</v>
      </c>
      <c r="F26" s="10" t="n">
        <f aca="false">D26*E26</f>
        <v>239200</v>
      </c>
    </row>
    <row r="27" customFormat="false" ht="15" hidden="false" customHeight="false" outlineLevel="0" collapsed="false">
      <c r="A27" s="11"/>
      <c r="B27" s="12" t="s">
        <v>45</v>
      </c>
      <c r="C27" s="11"/>
      <c r="D27" s="11"/>
      <c r="E27" s="11"/>
      <c r="F27" s="13" t="n">
        <f aca="false">SUM(F23:F26)</f>
        <v>958400</v>
      </c>
    </row>
    <row r="29" customFormat="false" ht="15" hidden="false" customHeight="false" outlineLevel="0" collapsed="false">
      <c r="A29" s="4" t="s">
        <v>46</v>
      </c>
      <c r="B29" s="4" t="s">
        <v>47</v>
      </c>
      <c r="C29" s="5"/>
      <c r="D29" s="5"/>
      <c r="E29" s="5"/>
      <c r="F29" s="5"/>
    </row>
    <row r="30" customFormat="false" ht="23.85" hidden="false" customHeight="false" outlineLevel="0" collapsed="false">
      <c r="A30" s="6" t="s">
        <v>48</v>
      </c>
      <c r="B30" s="7" t="s">
        <v>49</v>
      </c>
      <c r="C30" s="6"/>
      <c r="D30" s="14" t="n">
        <v>1</v>
      </c>
      <c r="E30" s="9" t="n">
        <v>74300</v>
      </c>
      <c r="F30" s="10" t="n">
        <f aca="false">D30*E30</f>
        <v>74300</v>
      </c>
    </row>
    <row r="31" customFormat="false" ht="23.85" hidden="false" customHeight="false" outlineLevel="0" collapsed="false">
      <c r="A31" s="6" t="s">
        <v>50</v>
      </c>
      <c r="B31" s="7" t="s">
        <v>51</v>
      </c>
      <c r="C31" s="6"/>
      <c r="D31" s="14" t="n">
        <v>1</v>
      </c>
      <c r="E31" s="9" t="n">
        <v>62450</v>
      </c>
      <c r="F31" s="10" t="n">
        <f aca="false">D31*E31</f>
        <v>62450</v>
      </c>
    </row>
    <row r="32" customFormat="false" ht="23.85" hidden="false" customHeight="false" outlineLevel="0" collapsed="false">
      <c r="A32" s="6" t="s">
        <v>52</v>
      </c>
      <c r="B32" s="7" t="s">
        <v>53</v>
      </c>
      <c r="C32" s="6"/>
      <c r="D32" s="14" t="n">
        <v>1</v>
      </c>
      <c r="E32" s="9" t="n">
        <v>50000</v>
      </c>
      <c r="F32" s="10" t="n">
        <f aca="false">D32*E32</f>
        <v>50000</v>
      </c>
    </row>
    <row r="33" customFormat="false" ht="15" hidden="false" customHeight="false" outlineLevel="0" collapsed="false">
      <c r="A33" s="11"/>
      <c r="B33" s="12" t="s">
        <v>54</v>
      </c>
      <c r="C33" s="11"/>
      <c r="D33" s="11"/>
      <c r="E33" s="11"/>
      <c r="F33" s="13" t="n">
        <f aca="false">SUM(F30:F32)</f>
        <v>186750</v>
      </c>
    </row>
    <row r="35" customFormat="false" ht="15" hidden="false" customHeight="false" outlineLevel="0" collapsed="false">
      <c r="A35" s="15"/>
      <c r="B35" s="16" t="s">
        <v>55</v>
      </c>
      <c r="C35" s="15"/>
      <c r="D35" s="15"/>
      <c r="E35" s="15"/>
      <c r="F35" s="17" t="n">
        <f aca="false">F13+F20+F27+F33</f>
        <v>3171950</v>
      </c>
    </row>
    <row r="36" customFormat="false" ht="15" hidden="false" customHeight="false" outlineLevel="0" collapsed="false">
      <c r="B36" s="2" t="s">
        <v>56</v>
      </c>
      <c r="F36" s="18" t="n">
        <f aca="false">ROUND(F35*0.08*((DATE(2027,1,18)-DATE(2025,9,2))/365),0)</f>
        <v>349697</v>
      </c>
    </row>
    <row r="38" customFormat="false" ht="15" hidden="false" customHeight="false" outlineLevel="0" collapsed="false">
      <c r="B38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2026-06-25T20:13:22Z</dcterms:created>
  <dc:creator>openpyxl</dc:creator>
  <dc:description/>
  <dc:language>en-US</dc:language>
  <cp:lastModifiedBy/>
  <dcterms:modified xsi:type="dcterms:W3CDTF">2026-06-25T20:13:22Z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