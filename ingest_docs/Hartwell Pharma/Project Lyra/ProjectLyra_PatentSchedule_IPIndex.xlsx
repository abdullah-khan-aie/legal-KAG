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ent Schedule" sheetId="1" state="visible" r:id="rId3"/>
    <sheet name="Data Room Inde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<sst xmlns="http://schemas.openxmlformats.org/spreadsheetml/2006/main" count="81" uniqueCount="74">
  <si>
    <t xml:space="preserve">Project Lyra — Licensed Patent Schedule &amp; IP Index (Schedule 1)</t>
  </si>
  <si>
    <t xml:space="preserve">HRX-218 estate. Status as at 30 Jan 2026. Source: data room folder 3; UK IPO / EPO / USPTO / WIPO registers.</t>
  </si>
  <si>
    <t xml:space="preserve">Family / Ref</t>
  </si>
  <si>
    <t xml:space="preserve">Jurisdiction(s)</t>
  </si>
  <si>
    <t xml:space="preserve">Application / Patent No.</t>
  </si>
  <si>
    <t xml:space="preserve">Subject matter</t>
  </si>
  <si>
    <t xml:space="preserve">Status</t>
  </si>
  <si>
    <t xml:space="preserve">Est. expiry</t>
  </si>
  <si>
    <t xml:space="preserve">Annual maint. (£)</t>
  </si>
  <si>
    <t xml:space="preserve">HRX-218-EP</t>
  </si>
  <si>
    <t xml:space="preserve">EP (UK, DE, FR, IT, ES)</t>
  </si>
  <si>
    <t xml:space="preserve">EP3187502 B1</t>
  </si>
  <si>
    <t xml:space="preserve">KRAS G12C inhibitor compounds (genus)</t>
  </si>
  <si>
    <t xml:space="preserve">Granted</t>
  </si>
  <si>
    <t xml:space="preserve">2036</t>
  </si>
  <si>
    <t xml:space="preserve">HRX-218-US</t>
  </si>
  <si>
    <t xml:space="preserve">US</t>
  </si>
  <si>
    <t xml:space="preserve">US 10,894,771 B2</t>
  </si>
  <si>
    <t xml:space="preserve">KRAS G12C inhibitor compounds</t>
  </si>
  <si>
    <t xml:space="preserve">HRX-218-EP-DIV1</t>
  </si>
  <si>
    <t xml:space="preserve">EP</t>
  </si>
  <si>
    <t xml:space="preserve">EP19 204 118.6</t>
  </si>
  <si>
    <t xml:space="preserve">Crystalline forms / polymorphs</t>
  </si>
  <si>
    <t xml:space="preserve">Pending (obs.)</t>
  </si>
  <si>
    <t xml:space="preserve">HRX-218-PCT2</t>
  </si>
  <si>
    <t xml:space="preserve">JP, CN, CA, AU (nat. phase)</t>
  </si>
  <si>
    <t xml:space="preserve">PCT/GB2022/051337</t>
  </si>
  <si>
    <t xml:space="preserve">Combination w/ checkpoint inhibitors</t>
  </si>
  <si>
    <t xml:space="preserve">National phase</t>
  </si>
  <si>
    <t xml:space="preserve">2042</t>
  </si>
  <si>
    <t xml:space="preserve">HRX-218-US-CIP</t>
  </si>
  <si>
    <t xml:space="preserve">US 17/889,204</t>
  </si>
  <si>
    <t xml:space="preserve">Methods of treatment / dosing</t>
  </si>
  <si>
    <t xml:space="preserve">Pending</t>
  </si>
  <si>
    <t xml:space="preserve">2043</t>
  </si>
  <si>
    <t xml:space="preserve">Total estimated annual maintenance</t>
  </si>
  <si>
    <t xml:space="preserve">Project Lyra — Data Room Index (key IP folders)</t>
  </si>
  <si>
    <t xml:space="preserve">Ref</t>
  </si>
  <si>
    <t xml:space="preserve">Document</t>
  </si>
  <si>
    <t xml:space="preserve">Date</t>
  </si>
  <si>
    <t xml:space="preserve">Relevance</t>
  </si>
  <si>
    <t xml:space="preserve">3.1</t>
  </si>
  <si>
    <t xml:space="preserve">Founder assignment — Dr M. Leitner to Calderbrook</t>
  </si>
  <si>
    <t xml:space="preserve">14 Mar 2019</t>
  </si>
  <si>
    <t xml:space="preserve">Chain of title (W9.2)</t>
  </si>
  <si>
    <t xml:space="preserve">3.2</t>
  </si>
  <si>
    <t xml:space="preserve">EPO / USPTO assignment recordal confirmations</t>
  </si>
  <si>
    <t xml:space="preserve">2 May / 11 Jun 2019</t>
  </si>
  <si>
    <t xml:space="preserve">3.6</t>
  </si>
  <si>
    <t xml:space="preserve">EPO third-party observation — HRX-218-EP-DIV1</t>
  </si>
  <si>
    <t xml:space="preserve">21 Nov 2024</t>
  </si>
  <si>
    <t xml:space="preserve">Validity (W9.4)</t>
  </si>
  <si>
    <t xml:space="preserve">3.7</t>
  </si>
  <si>
    <t xml:space="preserve">Hartington IP opinion on observation</t>
  </si>
  <si>
    <t xml:space="preserve">12 Dec 2024</t>
  </si>
  <si>
    <t xml:space="preserve">4.2</t>
  </si>
  <si>
    <t xml:space="preserve">University of Cambridge research-only licence</t>
  </si>
  <si>
    <t xml:space="preserve">1 Feb 2021</t>
  </si>
  <si>
    <t xml:space="preserve">Existing licences (W9.5)</t>
  </si>
  <si>
    <t xml:space="preserve">5.4</t>
  </si>
  <si>
    <t xml:space="preserve">Aldridge Seed debenture (charge over IP)</t>
  </si>
  <si>
    <t xml:space="preserve">9 Jul 2020</t>
  </si>
  <si>
    <t xml:space="preserve">Encumbrances (W9.3)</t>
  </si>
  <si>
    <t xml:space="preserve">5.5</t>
  </si>
  <si>
    <t xml:space="preserve">Conditional deed of release of charge</t>
  </si>
  <si>
    <t xml:space="preserve">draft 22 Jan 2026</t>
  </si>
  <si>
    <t xml:space="preserve">6.1</t>
  </si>
  <si>
    <t xml:space="preserve">Hartington IP freedom-to-operate report</t>
  </si>
  <si>
    <t xml:space="preserve">8 Jan 2026</t>
  </si>
  <si>
    <t xml:space="preserve">FTO (W9.6)</t>
  </si>
  <si>
    <t xml:space="preserve">7.3</t>
  </si>
  <si>
    <t xml:space="preserve">Innovate UK grant 104772 — closure letter</t>
  </si>
  <si>
    <t xml:space="preserve">2018</t>
  </si>
  <si>
    <t xml:space="preserve">Funding reach-through (W9.8)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</si>
</sst>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B7A"/>
        <bgColor rgb="FF555555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4B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 t="n">
        <v>9800</v>
      </c>
    </row>
    <row r="6" customFormat="false" ht="15" hidden="false" customHeight="false" outlineLevel="0" collapsed="false">
      <c r="A6" s="4" t="s">
        <v>15</v>
      </c>
      <c r="B6" s="5" t="s">
        <v>16</v>
      </c>
      <c r="C6" s="5" t="s">
        <v>17</v>
      </c>
      <c r="D6" s="5" t="s">
        <v>18</v>
      </c>
      <c r="E6" s="5" t="s">
        <v>13</v>
      </c>
      <c r="F6" s="5" t="s">
        <v>14</v>
      </c>
      <c r="G6" s="6" t="n">
        <v>6400</v>
      </c>
    </row>
    <row r="7" customFormat="false" ht="15" hidden="false" customHeight="false" outlineLevel="0" collapsed="false">
      <c r="A7" s="4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14</v>
      </c>
      <c r="G7" s="6" t="n">
        <v>3100</v>
      </c>
    </row>
    <row r="8" customFormat="false" ht="15" hidden="false" customHeight="false" outlineLevel="0" collapsed="false">
      <c r="A8" s="4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6" t="n">
        <v>7200</v>
      </c>
    </row>
    <row r="9" customFormat="false" ht="15" hidden="false" customHeight="false" outlineLevel="0" collapsed="false">
      <c r="A9" s="4" t="s">
        <v>30</v>
      </c>
      <c r="B9" s="5" t="s">
        <v>16</v>
      </c>
      <c r="C9" s="5" t="s">
        <v>31</v>
      </c>
      <c r="D9" s="5" t="s">
        <v>32</v>
      </c>
      <c r="E9" s="5" t="s">
        <v>33</v>
      </c>
      <c r="F9" s="5" t="s">
        <v>34</v>
      </c>
      <c r="G9" s="6" t="n">
        <v>2600</v>
      </c>
    </row>
    <row r="10" customFormat="false" ht="15" hidden="false" customHeight="false" outlineLevel="0" collapsed="false">
      <c r="A10" s="7" t="s">
        <v>35</v>
      </c>
      <c r="G10" s="8" t="n">
        <f aca="false">SUM(G5:G9)</f>
        <v>29100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3" t="s">
        <v>37</v>
      </c>
      <c r="B3" s="3" t="s">
        <v>38</v>
      </c>
      <c r="C3" s="3" t="s">
        <v>39</v>
      </c>
      <c r="D3" s="3" t="s">
        <v>40</v>
      </c>
    </row>
    <row r="4" customFormat="false" ht="15" hidden="false" customHeight="false" outlineLevel="0" collapsed="false">
      <c r="A4" s="9" t="s">
        <v>41</v>
      </c>
      <c r="B4" s="10" t="s">
        <v>42</v>
      </c>
      <c r="C4" s="10" t="s">
        <v>43</v>
      </c>
      <c r="D4" s="10" t="s">
        <v>44</v>
      </c>
    </row>
    <row r="5" customFormat="false" ht="15" hidden="false" customHeight="false" outlineLevel="0" collapsed="false">
      <c r="A5" s="9" t="s">
        <v>45</v>
      </c>
      <c r="B5" s="10" t="s">
        <v>46</v>
      </c>
      <c r="C5" s="10" t="s">
        <v>47</v>
      </c>
      <c r="D5" s="10" t="s">
        <v>44</v>
      </c>
    </row>
    <row r="6" customFormat="false" ht="15" hidden="false" customHeight="false" outlineLevel="0" collapsed="false">
      <c r="A6" s="9" t="s">
        <v>48</v>
      </c>
      <c r="B6" s="10" t="s">
        <v>49</v>
      </c>
      <c r="C6" s="10" t="s">
        <v>50</v>
      </c>
      <c r="D6" s="10" t="s">
        <v>51</v>
      </c>
    </row>
    <row r="7" customFormat="false" ht="15" hidden="false" customHeight="false" outlineLevel="0" collapsed="false">
      <c r="A7" s="9" t="s">
        <v>52</v>
      </c>
      <c r="B7" s="10" t="s">
        <v>53</v>
      </c>
      <c r="C7" s="10" t="s">
        <v>54</v>
      </c>
      <c r="D7" s="10" t="s">
        <v>51</v>
      </c>
    </row>
    <row r="8" customFormat="false" ht="15" hidden="false" customHeight="false" outlineLevel="0" collapsed="false">
      <c r="A8" s="9" t="s">
        <v>55</v>
      </c>
      <c r="B8" s="10" t="s">
        <v>56</v>
      </c>
      <c r="C8" s="10" t="s">
        <v>57</v>
      </c>
      <c r="D8" s="10" t="s">
        <v>58</v>
      </c>
    </row>
    <row r="9" customFormat="false" ht="15" hidden="false" customHeight="false" outlineLevel="0" collapsed="false">
      <c r="A9" s="9" t="s">
        <v>59</v>
      </c>
      <c r="B9" s="10" t="s">
        <v>60</v>
      </c>
      <c r="C9" s="10" t="s">
        <v>61</v>
      </c>
      <c r="D9" s="10" t="s">
        <v>62</v>
      </c>
    </row>
    <row r="10" customFormat="false" ht="15" hidden="false" customHeight="false" outlineLevel="0" collapsed="false">
      <c r="A10" s="9" t="s">
        <v>63</v>
      </c>
      <c r="B10" s="10" t="s">
        <v>64</v>
      </c>
      <c r="C10" s="10" t="s">
        <v>65</v>
      </c>
      <c r="D10" s="10" t="s">
        <v>62</v>
      </c>
    </row>
    <row r="11" customFormat="false" ht="15" hidden="false" customHeight="false" outlineLevel="0" collapsed="false">
      <c r="A11" s="9" t="s">
        <v>66</v>
      </c>
      <c r="B11" s="10" t="s">
        <v>67</v>
      </c>
      <c r="C11" s="10" t="s">
        <v>68</v>
      </c>
      <c r="D11" s="10" t="s">
        <v>69</v>
      </c>
    </row>
    <row r="12" customFormat="false" ht="15" hidden="false" customHeight="false" outlineLevel="0" collapsed="false">
      <c r="A12" s="9" t="s">
        <v>70</v>
      </c>
      <c r="B12" s="10" t="s">
        <v>71</v>
      </c>
      <c r="C12" s="10" t="s">
        <v>72</v>
      </c>
      <c r="D12" s="1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2026-06-27T13:48:41Z</dcterms:created>
  <dc:creator>openpyxl</dc:creator>
  <dc:description/>
  <dc:language>en-US</dc:language>
  <cp:lastModifiedBy/>
  <dcterms:modified xsi:type="dcterms:W3CDTF">2026-06-27T13:48:41Z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