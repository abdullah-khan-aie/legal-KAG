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 Summary" sheetId="1" state="visible" r:id="rId3"/>
    <sheet name="Royalty Projection" sheetId="2" state="visible" r:id="rId4"/>
    <sheet name="Funds Flow" sheetId="3" state="visible" r:id="rId5"/>
  </sheets>
  <definedNames>
    <definedName function="false" hidden="false" name="Rate1" vbProcedure="false">'Deal Summary'!$B$19</definedName>
    <definedName function="false" hidden="false" name="Rate2" vbProcedure="false">'Deal Summary'!$B$20</definedName>
    <definedName function="false" hidden="false" name="Rate3" vbProcedure="false">'Deal Summary'!$B$21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<sst xmlns="http://schemas.openxmlformats.org/spreadsheetml/2006/main" count="72" uniqueCount="65">
  <si>
    <t xml:space="preserve">Project Lyra — HRX-218 Licence: Deal Economics</t>
  </si>
  <si>
    <t xml:space="preserve">Calderbrook Oncology Ltd (Licensor) → Hartwell Pharma Ltd (Licensee). All figures £. Prepared 24 Jan 2026.</t>
  </si>
  <si>
    <t xml:space="preserve">Consideration component</t>
  </si>
  <si>
    <t xml:space="preserve">Amount (£)</t>
  </si>
  <si>
    <t xml:space="preserve">Trigger / basis</t>
  </si>
  <si>
    <t xml:space="preserve">Upfront fee (on signing)</t>
  </si>
  <si>
    <t xml:space="preserve">Clause 3.1 — payable within 10 BD of signing</t>
  </si>
  <si>
    <t xml:space="preserve">Phase II initiation milestone</t>
  </si>
  <si>
    <t xml:space="preserve">Clause 3.2(a)</t>
  </si>
  <si>
    <t xml:space="preserve">Phase III initiation milestone</t>
  </si>
  <si>
    <t xml:space="preserve">Clause 3.2(b)</t>
  </si>
  <si>
    <t xml:space="preserve">First EMA marketing authorisation</t>
  </si>
  <si>
    <t xml:space="preserve">Clause 3.2(c)</t>
  </si>
  <si>
    <t xml:space="preserve">First FDA approval</t>
  </si>
  <si>
    <t xml:space="preserve">Clause 3.2(d)</t>
  </si>
  <si>
    <t xml:space="preserve">Sales milestone — £100m annual net sales</t>
  </si>
  <si>
    <t xml:space="preserve">Clause 3.3</t>
  </si>
  <si>
    <t xml:space="preserve">Sales milestone — £250m annual net sales</t>
  </si>
  <si>
    <t xml:space="preserve">Sales milestone — £500m annual net sales</t>
  </si>
  <si>
    <t xml:space="preserve">Total development milestones</t>
  </si>
  <si>
    <t xml:space="preserve">Total sales milestones</t>
  </si>
  <si>
    <t xml:space="preserve">Total potential biodollar value (excl. royalties)</t>
  </si>
  <si>
    <t xml:space="preserve">Royalty tiers (on annual worldwide net sales)</t>
  </si>
  <si>
    <t xml:space="preserve">Band</t>
  </si>
  <si>
    <t xml:space="preserve">Rate</t>
  </si>
  <si>
    <t xml:space="preserve">Reference</t>
  </si>
  <si>
    <t xml:space="preserve">Up to £100m</t>
  </si>
  <si>
    <t xml:space="preserve">Schedule 4 / clause 3.4</t>
  </si>
  <si>
    <t xml:space="preserve">£100m–£250m</t>
  </si>
  <si>
    <t xml:space="preserve">Above £250m</t>
  </si>
  <si>
    <t xml:space="preserve">Illustrative Royalty Projection (£) — base case net-sales ramp</t>
  </si>
  <si>
    <t xml:space="preserve">Net sales are illustrative inputs (blue). Royalty by tier computed from rates on Deal Summary. NOT a forecast or representation.</t>
  </si>
  <si>
    <t xml:space="preserve">Year</t>
  </si>
  <si>
    <t xml:space="preserve">Net sales</t>
  </si>
  <si>
    <t xml:space="preserve">Tier 1 (8%)</t>
  </si>
  <si>
    <t xml:space="preserve">Tier 2 (11%)</t>
  </si>
  <si>
    <t xml:space="preserve">Tier 3 (14%)</t>
  </si>
  <si>
    <t xml:space="preserve">Total royalty</t>
  </si>
  <si>
    <t xml:space="preserve">Cumulative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</si>
  <si>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</si>
  <si>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</si>
  <si>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</si>
  <si>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</si>
  <si>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</si>
  <si>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</si>
  <si>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Total</t>
  </si>
  <si>
    <t xml:space="preserve">Project Lyra — Completion Funds Flow &amp; Near-term Payments</t>
  </si>
  <si>
    <t xml:space="preserve">From Hartwell Pharma Ltd. £. Tax exclusive (VAT to be added where applicable).</t>
  </si>
  <si>
    <t xml:space="preserve">Payment</t>
  </si>
  <si>
    <t xml:space="preserve">Date / due</t>
  </si>
  <si>
    <t xml:space="preserve">Payee / account</t>
  </si>
  <si>
    <t xml:space="preserve">Upfront licence fee (clause 3.1)</t>
  </si>
  <si>
    <t xml:space="preserve">13 Feb 2026</t>
  </si>
  <si>
    <t xml:space="preserve">Calderbrook Oncology Ltd — Sterling Commercial Bank</t>
  </si>
  <si>
    <t xml:space="preserve">Whitfield Carter LLP — legal fees (est.)</t>
  </si>
  <si>
    <t xml:space="preserve">On invoice</t>
  </si>
  <si>
    <t xml:space="preserve">Whitfield Carter LLP client account</t>
  </si>
  <si>
    <t xml:space="preserve">Hartington IP — patent diligence &amp; recordal</t>
  </si>
  <si>
    <t xml:space="preserve">Hartington IP</t>
  </si>
  <si>
    <t xml:space="preserve">Marlow Tax &amp; Advisory — tax structuring</t>
  </si>
  <si>
    <t xml:space="preserve">Marlow Tax &amp; Advisory Ltd</t>
  </si>
  <si>
    <t xml:space="preserve">Patent register recordal fees (EPO/USPTO)</t>
  </si>
  <si>
    <t xml:space="preserve">Within 30 days</t>
  </si>
  <si>
    <t xml:space="preserve">HIP disbursement</t>
  </si>
  <si>
    <t xml:space="preserve">Total near-term outflow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</si>
</sst>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B7A"/>
        <bgColor rgb="FF555555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E4B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6000000</v>
      </c>
      <c r="C5" s="4" t="s">
        <v>6</v>
      </c>
    </row>
    <row r="6" customFormat="false" ht="15" hidden="false" customHeight="false" outlineLevel="0" collapsed="false">
      <c r="A6" s="6" t="s">
        <v>7</v>
      </c>
      <c r="B6" s="7" t="n">
        <v>3000000</v>
      </c>
      <c r="C6" s="6" t="s">
        <v>8</v>
      </c>
    </row>
    <row r="7" customFormat="false" ht="15" hidden="false" customHeight="false" outlineLevel="0" collapsed="false">
      <c r="A7" s="6" t="s">
        <v>9</v>
      </c>
      <c r="B7" s="7" t="n">
        <v>8000000</v>
      </c>
      <c r="C7" s="6" t="s">
        <v>10</v>
      </c>
    </row>
    <row r="8" customFormat="false" ht="15" hidden="false" customHeight="false" outlineLevel="0" collapsed="false">
      <c r="A8" s="6" t="s">
        <v>11</v>
      </c>
      <c r="B8" s="7" t="n">
        <v>15000000</v>
      </c>
      <c r="C8" s="6" t="s">
        <v>12</v>
      </c>
    </row>
    <row r="9" customFormat="false" ht="15" hidden="false" customHeight="false" outlineLevel="0" collapsed="false">
      <c r="A9" s="6" t="s">
        <v>13</v>
      </c>
      <c r="B9" s="7" t="n">
        <v>18000000</v>
      </c>
      <c r="C9" s="6" t="s">
        <v>14</v>
      </c>
    </row>
    <row r="10" customFormat="false" ht="15" hidden="false" customHeight="false" outlineLevel="0" collapsed="false">
      <c r="A10" s="6" t="s">
        <v>15</v>
      </c>
      <c r="B10" s="7" t="n">
        <v>20000000</v>
      </c>
      <c r="C10" s="6" t="s">
        <v>16</v>
      </c>
    </row>
    <row r="11" customFormat="false" ht="15" hidden="false" customHeight="false" outlineLevel="0" collapsed="false">
      <c r="A11" s="6" t="s">
        <v>17</v>
      </c>
      <c r="B11" s="7" t="n">
        <v>35000000</v>
      </c>
      <c r="C11" s="6" t="s">
        <v>16</v>
      </c>
    </row>
    <row r="12" customFormat="false" ht="15" hidden="false" customHeight="false" outlineLevel="0" collapsed="false">
      <c r="A12" s="6" t="s">
        <v>18</v>
      </c>
      <c r="B12" s="7" t="n">
        <v>50000000</v>
      </c>
      <c r="C12" s="6" t="s">
        <v>16</v>
      </c>
    </row>
    <row r="13" customFormat="false" ht="15" hidden="false" customHeight="false" outlineLevel="0" collapsed="false">
      <c r="A13" s="8" t="s">
        <v>19</v>
      </c>
      <c r="B13" s="9" t="n">
        <f aca="false">SUM(B6:B9)</f>
        <v>44000000</v>
      </c>
    </row>
    <row r="14" customFormat="false" ht="15" hidden="false" customHeight="false" outlineLevel="0" collapsed="false">
      <c r="A14" s="8" t="s">
        <v>20</v>
      </c>
      <c r="B14" s="9" t="n">
        <f aca="false">SUM(B10:B12)</f>
        <v>105000000</v>
      </c>
    </row>
    <row r="15" customFormat="false" ht="15" hidden="false" customHeight="false" outlineLevel="0" collapsed="false">
      <c r="A15" s="8" t="s">
        <v>21</v>
      </c>
      <c r="B15" s="10" t="n">
        <f aca="false">B5+B13+B14</f>
        <v>155000000</v>
      </c>
    </row>
    <row r="17" customFormat="false" ht="15" hidden="false" customHeight="false" outlineLevel="0" collapsed="false">
      <c r="A17" s="8" t="s">
        <v>22</v>
      </c>
    </row>
    <row r="18" customFormat="false" ht="15" hidden="false" customHeight="false" outlineLevel="0" collapsed="false">
      <c r="A18" s="3" t="s">
        <v>23</v>
      </c>
      <c r="B18" s="3" t="s">
        <v>24</v>
      </c>
      <c r="C18" s="3" t="s">
        <v>25</v>
      </c>
    </row>
    <row r="19" customFormat="false" ht="15" hidden="false" customHeight="false" outlineLevel="0" collapsed="false">
      <c r="A19" s="6" t="s">
        <v>26</v>
      </c>
      <c r="B19" s="11" t="n">
        <v>0.08</v>
      </c>
      <c r="C19" s="6" t="s">
        <v>27</v>
      </c>
    </row>
    <row r="20" customFormat="false" ht="15" hidden="false" customHeight="false" outlineLevel="0" collapsed="false">
      <c r="A20" s="6" t="s">
        <v>28</v>
      </c>
      <c r="B20" s="11" t="n">
        <v>0.11</v>
      </c>
      <c r="C20" s="6" t="s">
        <v>27</v>
      </c>
    </row>
    <row r="21" customFormat="false" ht="15" hidden="false" customHeight="false" outlineLevel="0" collapsed="false">
      <c r="A21" s="6" t="s">
        <v>29</v>
      </c>
      <c r="B21" s="11" t="n">
        <v>0.14</v>
      </c>
      <c r="C21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2" t="s">
        <v>32</v>
      </c>
      <c r="B4" s="12" t="s">
        <v>33</v>
      </c>
      <c r="C4" s="12" t="s">
        <v>34</v>
      </c>
      <c r="D4" s="12" t="s">
        <v>35</v>
      </c>
      <c r="E4" s="12" t="s">
        <v>36</v>
      </c>
      <c r="F4" s="12" t="s">
        <v>37</v>
      </c>
      <c r="G4" s="12" t="s">
        <v>38</v>
      </c>
    </row>
    <row r="5" customFormat="false" ht="15" hidden="false" customHeight="false" outlineLevel="0" collapsed="false">
      <c r="A5" s="13" t="s">
        <v>39</v>
      </c>
      <c r="B5" s="7" t="n">
        <v>25000000</v>
      </c>
      <c r="C5" s="14" t="n">
        <f aca="false">MIN(B5,100000000)*Rate1</f>
        <v>2000000</v>
      </c>
      <c r="D5" s="14" t="n">
        <f aca="false">MAX(0,MIN(B5,250000000)-100000000)*Rate2</f>
        <v>0</v>
      </c>
      <c r="E5" s="14" t="n">
        <f aca="false">MAX(0,B5-250000000)*Rate3</f>
        <v>0</v>
      </c>
      <c r="F5" s="15" t="n">
        <f aca="false">SUM(C5:E5)</f>
        <v>2000000</v>
      </c>
      <c r="G5" s="14" t="n">
        <f aca="false">F5</f>
        <v>2000000</v>
      </c>
    </row>
    <row r="6" customFormat="false" ht="15" hidden="false" customHeight="false" outlineLevel="0" collapsed="false">
      <c r="A6" s="13" t="s">
        <v>40</v>
      </c>
      <c r="B6" s="7" t="n">
        <v>80000000</v>
      </c>
      <c r="C6" s="14" t="n">
        <f aca="false">MIN(B6,100000000)*Rate1</f>
        <v>6400000</v>
      </c>
      <c r="D6" s="14" t="n">
        <f aca="false">MAX(0,MIN(B6,250000000)-100000000)*Rate2</f>
        <v>0</v>
      </c>
      <c r="E6" s="14" t="n">
        <f aca="false">MAX(0,B6-250000000)*Rate3</f>
        <v>0</v>
      </c>
      <c r="F6" s="15" t="n">
        <f aca="false">SUM(C6:E6)</f>
        <v>6400000</v>
      </c>
      <c r="G6" s="14" t="n">
        <f aca="false">G5+F6</f>
        <v>8400000</v>
      </c>
    </row>
    <row r="7" customFormat="false" ht="15" hidden="false" customHeight="false" outlineLevel="0" collapsed="false">
      <c r="A7" s="13" t="s">
        <v>41</v>
      </c>
      <c r="B7" s="7" t="n">
        <v>160000000</v>
      </c>
      <c r="C7" s="14" t="n">
        <f aca="false">MIN(B7,100000000)*Rate1</f>
        <v>8000000</v>
      </c>
      <c r="D7" s="14" t="n">
        <f aca="false">MAX(0,MIN(B7,250000000)-100000000)*Rate2</f>
        <v>6600000</v>
      </c>
      <c r="E7" s="14" t="n">
        <f aca="false">MAX(0,B7-250000000)*Rate3</f>
        <v>0</v>
      </c>
      <c r="F7" s="15" t="n">
        <f aca="false">SUM(C7:E7)</f>
        <v>14600000</v>
      </c>
      <c r="G7" s="14" t="n">
        <f aca="false">G6+F7</f>
        <v>23000000</v>
      </c>
    </row>
    <row r="8" customFormat="false" ht="15" hidden="false" customHeight="false" outlineLevel="0" collapsed="false">
      <c r="A8" s="13" t="s">
        <v>42</v>
      </c>
      <c r="B8" s="7" t="n">
        <v>300000000</v>
      </c>
      <c r="C8" s="14" t="n">
        <f aca="false">MIN(B8,100000000)*Rate1</f>
        <v>8000000</v>
      </c>
      <c r="D8" s="14" t="n">
        <f aca="false">MAX(0,MIN(B8,250000000)-100000000)*Rate2</f>
        <v>16500000</v>
      </c>
      <c r="E8" s="14" t="n">
        <f aca="false">MAX(0,B8-250000000)*Rate3</f>
        <v>7000000</v>
      </c>
      <c r="F8" s="15" t="n">
        <f aca="false">SUM(C8:E8)</f>
        <v>31500000</v>
      </c>
      <c r="G8" s="14" t="n">
        <f aca="false">G7+F8</f>
        <v>54500000</v>
      </c>
    </row>
    <row r="9" customFormat="false" ht="15" hidden="false" customHeight="false" outlineLevel="0" collapsed="false">
      <c r="A9" s="13" t="s">
        <v>43</v>
      </c>
      <c r="B9" s="7" t="n">
        <v>430000000</v>
      </c>
      <c r="C9" s="14" t="n">
        <f aca="false">MIN(B9,100000000)*Rate1</f>
        <v>8000000</v>
      </c>
      <c r="D9" s="14" t="n">
        <f aca="false">MAX(0,MIN(B9,250000000)-100000000)*Rate2</f>
        <v>16500000</v>
      </c>
      <c r="E9" s="14" t="n">
        <f aca="false">MAX(0,B9-250000000)*Rate3</f>
        <v>25200000</v>
      </c>
      <c r="F9" s="15" t="n">
        <f aca="false">SUM(C9:E9)</f>
        <v>49700000</v>
      </c>
      <c r="G9" s="14" t="n">
        <f aca="false">G8+F9</f>
        <v>104200000</v>
      </c>
    </row>
    <row r="10" customFormat="false" ht="15" hidden="false" customHeight="false" outlineLevel="0" collapsed="false">
      <c r="A10" s="13" t="s">
        <v>44</v>
      </c>
      <c r="B10" s="7" t="n">
        <v>520000000</v>
      </c>
      <c r="C10" s="14" t="n">
        <f aca="false">MIN(B10,100000000)*Rate1</f>
        <v>8000000</v>
      </c>
      <c r="D10" s="14" t="n">
        <f aca="false">MAX(0,MIN(B10,250000000)-100000000)*Rate2</f>
        <v>16500000</v>
      </c>
      <c r="E10" s="14" t="n">
        <f aca="false">MAX(0,B10-250000000)*Rate3</f>
        <v>37800000</v>
      </c>
      <c r="F10" s="15" t="n">
        <f aca="false">SUM(C10:E10)</f>
        <v>62300000</v>
      </c>
      <c r="G10" s="14" t="n">
        <f aca="false">G9+F10</f>
        <v>166500000</v>
      </c>
    </row>
    <row r="11" customFormat="false" ht="15" hidden="false" customHeight="false" outlineLevel="0" collapsed="false">
      <c r="A11" s="16" t="s">
        <v>45</v>
      </c>
      <c r="B11" s="10" t="n">
        <f aca="false">SUM(B5:B10)</f>
        <v>1515000000</v>
      </c>
      <c r="C11" s="10" t="n">
        <f aca="false">SUM(C5:C10)</f>
        <v>40400000</v>
      </c>
      <c r="D11" s="10" t="n">
        <f aca="false">SUM(D5:D10)</f>
        <v>56100000</v>
      </c>
      <c r="E11" s="10" t="n">
        <f aca="false">SUM(E5:E10)</f>
        <v>70000000</v>
      </c>
      <c r="F11" s="10" t="n">
        <f aca="false">SUM(F5:F10)</f>
        <v>166500000</v>
      </c>
      <c r="G1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12" t="s">
        <v>48</v>
      </c>
      <c r="B4" s="12" t="s">
        <v>49</v>
      </c>
      <c r="C4" s="12" t="s">
        <v>3</v>
      </c>
      <c r="D4" s="12" t="s">
        <v>50</v>
      </c>
    </row>
    <row r="5" customFormat="false" ht="15" hidden="false" customHeight="false" outlineLevel="0" collapsed="false">
      <c r="A5" s="6" t="s">
        <v>51</v>
      </c>
      <c r="B5" s="13" t="s">
        <v>52</v>
      </c>
      <c r="C5" s="7" t="n">
        <v>6000000</v>
      </c>
      <c r="D5" s="6" t="s">
        <v>53</v>
      </c>
    </row>
    <row r="6" customFormat="false" ht="15" hidden="false" customHeight="false" outlineLevel="0" collapsed="false">
      <c r="A6" s="6" t="s">
        <v>54</v>
      </c>
      <c r="B6" s="13" t="s">
        <v>55</v>
      </c>
      <c r="C6" s="14" t="n">
        <v>118000</v>
      </c>
      <c r="D6" s="6" t="s">
        <v>56</v>
      </c>
    </row>
    <row r="7" customFormat="false" ht="15" hidden="false" customHeight="false" outlineLevel="0" collapsed="false">
      <c r="A7" s="6" t="s">
        <v>57</v>
      </c>
      <c r="B7" s="13" t="s">
        <v>55</v>
      </c>
      <c r="C7" s="14" t="n">
        <v>24500</v>
      </c>
      <c r="D7" s="6" t="s">
        <v>58</v>
      </c>
    </row>
    <row r="8" customFormat="false" ht="15" hidden="false" customHeight="false" outlineLevel="0" collapsed="false">
      <c r="A8" s="6" t="s">
        <v>59</v>
      </c>
      <c r="B8" s="13" t="s">
        <v>55</v>
      </c>
      <c r="C8" s="14" t="n">
        <v>16000</v>
      </c>
      <c r="D8" s="6" t="s">
        <v>60</v>
      </c>
    </row>
    <row r="9" customFormat="false" ht="15" hidden="false" customHeight="false" outlineLevel="0" collapsed="false">
      <c r="A9" s="6" t="s">
        <v>61</v>
      </c>
      <c r="B9" s="13" t="s">
        <v>62</v>
      </c>
      <c r="C9" s="14" t="n">
        <v>4200</v>
      </c>
      <c r="D9" s="6" t="s">
        <v>63</v>
      </c>
    </row>
    <row r="10" customFormat="false" ht="15" hidden="false" customHeight="false" outlineLevel="0" collapsed="false">
      <c r="A10" s="8" t="s">
        <v>64</v>
      </c>
      <c r="C10" s="10" t="n">
        <f aca="false">SUM(C5:C9)</f>
        <v>6162700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2026-06-27T13:48:41Z</dcterms:created>
  <dc:creator>openpyxl</dc:creator>
  <dc:description/>
  <dc:language>en-US</dc:language>
  <cp:lastModifiedBy/>
  <dcterms:modified xsi:type="dcterms:W3CDTF">2026-06-27T13:48:41Z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