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<sst xmlns="http://schemas.openxmlformats.org/spreadsheetml/2006/main" count="42" uniqueCount="40">
  <si>
    <t xml:space="preserve">Sutherland Logistics Limited v Vantage Freight Solutions Limited</t>
  </si>
  <si>
    <t xml:space="preserve">SCHEDULE OF LOSS  |  Claim No. CC-2025-LON-000389</t>
  </si>
  <si>
    <t xml:space="preserve">Prepared by Whitfield Carter LLP (Ref: SAW/WC-00115)  |  Served with Particulars of Claim, 9 October 2025</t>
  </si>
  <si>
    <t xml:space="preserve">Assumptions / contractual inputs</t>
  </si>
  <si>
    <t xml:space="preserve">Guaranteed minimum monthly charge (clause 7.4)</t>
  </si>
  <si>
    <t xml:space="preserve">Source: LSA dated 12 Jan 2023, cl. 7.4</t>
  </si>
  <si>
    <t xml:space="preserve">Initial Term end date</t>
  </si>
  <si>
    <t xml:space="preserve">11 Jan 2026</t>
  </si>
  <si>
    <t xml:space="preserve">Source: LSA cl. 2.1</t>
  </si>
  <si>
    <t xml:space="preserve">Date of repudiation accepted</t>
  </si>
  <si>
    <t xml:space="preserve">23 May 2025</t>
  </si>
  <si>
    <t xml:space="preserve">Source: acceptance letter 23 May 2025</t>
  </si>
  <si>
    <t xml:space="preserve">Unexpired guaranteed months (9 May 2025 - 11 Jan 2026)</t>
  </si>
  <si>
    <t xml:space="preserve">Calculated</t>
  </si>
  <si>
    <t xml:space="preserve">Avg. monthly activity margin above minimum</t>
  </si>
  <si>
    <t xml:space="preserve">Source: 12-month actuals to Apr 2025</t>
  </si>
  <si>
    <t xml:space="preserve">Monthly avoided variable cost on lost volume</t>
  </si>
  <si>
    <t xml:space="preserve">Source: management accounts</t>
  </si>
  <si>
    <t xml:space="preserve">Head of loss</t>
  </si>
  <si>
    <t xml:space="preserve">Basis</t>
  </si>
  <si>
    <t xml:space="preserve">Period / qty</t>
  </si>
  <si>
    <t xml:space="preserve">Rate (£)</t>
  </si>
  <si>
    <t xml:space="preserve">Amount (£)</t>
  </si>
  <si>
    <t xml:space="preserve">Unpaid invoice SL-2025-0188 (Feb 2025)</t>
  </si>
  <si>
    <t xml:space="preserve">Charges accrued due</t>
  </si>
  <si>
    <t xml:space="preserve">Unpaid invoice SL-2025-0241 (Mar 2025)</t>
  </si>
  <si>
    <t xml:space="preserve">Unpaid invoice SL-2025-0297 (Apr 2025)</t>
  </si>
  <si>
    <t xml:space="preserve">Sub-total: unpaid charges (Head 1)</t>
  </si>
  <si>
    <t xml:space="preserve">Loss of guaranteed minimum charge (unexpired term)</t>
  </si>
  <si>
    <t xml:space="preserve">8 months x £68,500</t>
  </si>
  <si>
    <t xml:space="preserve">Loss of activity-based margin above minimum</t>
  </si>
  <si>
    <t xml:space="preserve">8 months x avg margin</t>
  </si>
  <si>
    <t xml:space="preserve">Less: avoided variable costs on lost volume</t>
  </si>
  <si>
    <t xml:space="preserve">8 months x avoided cost</t>
  </si>
  <si>
    <t xml:space="preserve">Less: credit for mitigation (Halcyon Retail, Aug 2025-Jan 2026)</t>
  </si>
  <si>
    <t xml:space="preserve">Replacement income net</t>
  </si>
  <si>
    <t xml:space="preserve">Source: mitigation ledger MT1 p.34-41</t>
  </si>
  <si>
    <t xml:space="preserve">Sub-total: loss of profit on unexpired term (Head 2)</t>
  </si>
  <si>
    <t xml:space="preserve">TOTAL CLAIM (excluding interest and costs)</t>
  </si>
  <si>
    <t xml:space="preserve">Interest claimed under Late Payment of Commercial Debts (Interest) Act 1998 / s.35A Senior Courts Act 1981 - to be assessed.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</si>
</sst>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£#,##0;&quot;(£&quot;#,##0\)"/>
    <numFmt numFmtId="166" formatCode="0"/>
    <numFmt numFmtId="167" formatCode="\£#,##0.00;&quot;(£&quot;#,##0.0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  <fill>
      <patternFill patternType="solid">
        <fgColor rgb="FF1F4E78"/>
        <bgColor rgb="FF003366"/>
      </patternFill>
    </fill>
    <fill>
      <patternFill patternType="solid">
        <fgColor rgb="FFC6E0B4"/>
        <bgColor rgb="FFD9E2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8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  <c r="C7" s="7" t="n">
        <v>68500</v>
      </c>
      <c r="E7" s="8" t="s">
        <v>5</v>
      </c>
      <c r="F7" s="8"/>
    </row>
    <row r="8" customFormat="false" ht="15" hidden="false" customHeight="true" outlineLevel="0" collapsed="false">
      <c r="B8" s="6" t="s">
        <v>6</v>
      </c>
      <c r="C8" s="9" t="s">
        <v>7</v>
      </c>
      <c r="E8" s="10" t="s">
        <v>8</v>
      </c>
    </row>
    <row r="9" customFormat="false" ht="15" hidden="false" customHeight="true" outlineLevel="0" collapsed="false">
      <c r="B9" s="6" t="s">
        <v>9</v>
      </c>
      <c r="C9" s="9" t="s">
        <v>10</v>
      </c>
      <c r="E9" s="10" t="s">
        <v>11</v>
      </c>
    </row>
    <row r="10" customFormat="false" ht="15" hidden="false" customHeight="true" outlineLevel="0" collapsed="false">
      <c r="B10" s="6" t="s">
        <v>12</v>
      </c>
      <c r="C10" s="11" t="n">
        <v>8</v>
      </c>
      <c r="E10" s="10" t="s">
        <v>13</v>
      </c>
    </row>
    <row r="11" customFormat="false" ht="15" hidden="false" customHeight="true" outlineLevel="0" collapsed="false">
      <c r="B11" s="6" t="s">
        <v>14</v>
      </c>
      <c r="C11" s="7" t="n">
        <v>14900</v>
      </c>
      <c r="E11" s="10" t="s">
        <v>15</v>
      </c>
    </row>
    <row r="12" customFormat="false" ht="15" hidden="false" customHeight="true" outlineLevel="0" collapsed="false">
      <c r="B12" s="6" t="s">
        <v>16</v>
      </c>
      <c r="C12" s="7" t="n">
        <v>6400</v>
      </c>
      <c r="E12" s="10" t="s">
        <v>17</v>
      </c>
    </row>
    <row r="14" customFormat="false" ht="15" hidden="false" customHeight="true" outlineLevel="0" collapsed="false">
      <c r="B14" s="12" t="s">
        <v>18</v>
      </c>
      <c r="C14" s="12" t="s">
        <v>19</v>
      </c>
      <c r="D14" s="12" t="s">
        <v>20</v>
      </c>
      <c r="E14" s="12" t="s">
        <v>21</v>
      </c>
      <c r="F14" s="12" t="s">
        <v>22</v>
      </c>
    </row>
    <row r="15" customFormat="false" ht="15" hidden="false" customHeight="true" outlineLevel="0" collapsed="false">
      <c r="B15" s="13" t="s">
        <v>23</v>
      </c>
      <c r="C15" s="13" t="s">
        <v>24</v>
      </c>
      <c r="D15" s="14" t="n">
        <v>1</v>
      </c>
      <c r="E15" s="15"/>
      <c r="F15" s="16" t="n">
        <v>162416.67</v>
      </c>
    </row>
    <row r="16" customFormat="false" ht="15" hidden="false" customHeight="true" outlineLevel="0" collapsed="false">
      <c r="B16" s="13" t="s">
        <v>25</v>
      </c>
      <c r="C16" s="13" t="s">
        <v>24</v>
      </c>
      <c r="D16" s="14" t="n">
        <v>1</v>
      </c>
      <c r="E16" s="15"/>
      <c r="F16" s="16" t="n">
        <v>161920</v>
      </c>
    </row>
    <row r="17" customFormat="false" ht="15" hidden="false" customHeight="true" outlineLevel="0" collapsed="false">
      <c r="B17" s="13" t="s">
        <v>26</v>
      </c>
      <c r="C17" s="13" t="s">
        <v>24</v>
      </c>
      <c r="D17" s="14" t="n">
        <v>1</v>
      </c>
      <c r="E17" s="15"/>
      <c r="F17" s="16" t="n">
        <v>162913.33</v>
      </c>
    </row>
    <row r="18" customFormat="false" ht="15" hidden="false" customHeight="true" outlineLevel="0" collapsed="false">
      <c r="B18" s="17" t="s">
        <v>27</v>
      </c>
      <c r="C18" s="15"/>
      <c r="D18" s="15"/>
      <c r="E18" s="15"/>
      <c r="F18" s="18" t="n">
        <f aca="false">SUM(F15:F17)</f>
        <v>487250</v>
      </c>
    </row>
    <row r="20" customFormat="false" ht="15" hidden="false" customHeight="true" outlineLevel="0" collapsed="false">
      <c r="B20" s="13" t="s">
        <v>28</v>
      </c>
      <c r="C20" s="13" t="s">
        <v>29</v>
      </c>
      <c r="D20" s="19" t="n">
        <f aca="false">C10</f>
        <v>8</v>
      </c>
      <c r="E20" s="20" t="n">
        <f aca="false">C7</f>
        <v>68500</v>
      </c>
      <c r="F20" s="16" t="n">
        <f aca="false">C10*C7</f>
        <v>548000</v>
      </c>
    </row>
    <row r="21" customFormat="false" ht="15" hidden="false" customHeight="true" outlineLevel="0" collapsed="false">
      <c r="B21" s="13" t="s">
        <v>30</v>
      </c>
      <c r="C21" s="13" t="s">
        <v>31</v>
      </c>
      <c r="D21" s="19" t="n">
        <f aca="false">C10</f>
        <v>8</v>
      </c>
      <c r="E21" s="20" t="n">
        <f aca="false">C11</f>
        <v>14900</v>
      </c>
      <c r="F21" s="16" t="n">
        <f aca="false">C10*C11</f>
        <v>119200</v>
      </c>
    </row>
    <row r="22" customFormat="false" ht="15" hidden="false" customHeight="true" outlineLevel="0" collapsed="false">
      <c r="B22" s="13" t="s">
        <v>32</v>
      </c>
      <c r="C22" s="13" t="s">
        <v>33</v>
      </c>
      <c r="D22" s="19" t="n">
        <f aca="false">C10</f>
        <v>8</v>
      </c>
      <c r="E22" s="20" t="n">
        <f aca="false">-C12</f>
        <v>-6400</v>
      </c>
      <c r="F22" s="16" t="n">
        <f aca="false">-C10*C12</f>
        <v>-51200</v>
      </c>
    </row>
    <row r="23" customFormat="false" ht="15" hidden="false" customHeight="true" outlineLevel="0" collapsed="false">
      <c r="B23" s="13" t="s">
        <v>34</v>
      </c>
      <c r="C23" s="13" t="s">
        <v>35</v>
      </c>
      <c r="D23" s="15"/>
      <c r="E23" s="21" t="s">
        <v>36</v>
      </c>
      <c r="F23" s="22" t="n">
        <v>-4000</v>
      </c>
    </row>
    <row r="24" customFormat="false" ht="15" hidden="false" customHeight="true" outlineLevel="0" collapsed="false">
      <c r="B24" s="17" t="s">
        <v>37</v>
      </c>
      <c r="C24" s="15"/>
      <c r="D24" s="15"/>
      <c r="E24" s="15"/>
      <c r="F24" s="18" t="n">
        <f aca="false">SUM(F20:F23)</f>
        <v>612000</v>
      </c>
    </row>
    <row r="26" customFormat="false" ht="15" hidden="false" customHeight="true" outlineLevel="0" collapsed="false">
      <c r="B26" s="23" t="s">
        <v>38</v>
      </c>
      <c r="C26" s="15"/>
      <c r="D26" s="15"/>
      <c r="E26" s="15"/>
      <c r="F26" s="24" t="n">
        <f aca="false">F18+F24</f>
        <v>1099250</v>
      </c>
    </row>
    <row r="28" customFormat="false" ht="15" hidden="false" customHeight="true" outlineLevel="0" collapsed="false">
      <c r="B28" s="4" t="s">
        <v>39</v>
      </c>
    </row>
  </sheetData>
  <mergeCells count="1">
    <mergeCell ref="E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2026-06-25T12:36:46Z</dcterms:created>
  <dc:creator>openpyxl</dc:creator>
  <dc:description/>
  <dc:language>en-US</dc:language>
  <cp:lastModifiedBy/>
  <dcterms:modified xsi:type="dcterms:W3CDTF">2026-06-25T12:37:06Z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