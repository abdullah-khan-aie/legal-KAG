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<sst xmlns="http://schemas.openxmlformats.org/spreadsheetml/2006/main" count="42" uniqueCount="42">
  <si>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SCHEDULE OF LOSS</t>
  </si>
  <si>
    <t xml:space="preserve">R Whitcombe v Sutherland Logistics Limited  |  Birmingham ET Case No. 1304562/2026  |  Served 17 April 2026</t>
  </si>
  <si>
    <t xml:space="preserve">PRIVATE &amp; CONFIDENTIAL — prepared by Ashworth Quinn LLP for the Claimant</t>
  </si>
  <si>
    <t xml:space="preserve">Key data (inputs)</t>
  </si>
  <si>
    <t xml:space="preserve">Date of birth</t>
  </si>
  <si>
    <t xml:space="preserve">23 February 1971</t>
  </si>
  <si>
    <t xml:space="preserve">Effective date of termination</t>
  </si>
  <si>
    <t xml:space="preserve">16 January 2026</t>
  </si>
  <si>
    <t xml:space="preserve">Continuous service (years)</t>
  </si>
  <si>
    <t xml:space="preserve">Gross annual salary (£)</t>
  </si>
  <si>
    <t xml:space="preserve">Net monthly salary (£)</t>
  </si>
  <si>
    <t xml:space="preserve">Employer pension contribution (% of salary)</t>
  </si>
  <si>
    <t xml:space="preserve">Statutory cap on a week's pay (£)</t>
  </si>
  <si>
    <t xml:space="preserve">Date of remedy hearing (assumed)</t>
  </si>
  <si>
    <t xml:space="preserve">15 December 2026</t>
  </si>
  <si>
    <t xml:space="preserve">Head of loss</t>
  </si>
  <si>
    <t xml:space="preserve">Basis / calculation</t>
  </si>
  <si>
    <t xml:space="preserve">Period (months)</t>
  </si>
  <si>
    <t xml:space="preserve">Amount (£)</t>
  </si>
  <si>
    <t xml:space="preserve">1. Basic award</t>
  </si>
  <si>
    <t xml:space="preserve">Statutory basic award (capped week's pay x age/service factor); 11 yrs, age 54, 16.5 weeks</t>
  </si>
  <si>
    <t xml:space="preserve">2. Loss of statutory rights</t>
  </si>
  <si>
    <t xml:space="preserve">Conventional sum for loss of accrued statutory employment protections</t>
  </si>
  <si>
    <t xml:space="preserve">500</t>
  </si>
  <si>
    <t xml:space="preserve">3. Past loss of earnings</t>
  </si>
  <si>
    <t xml:space="preserve">Net monthly salary x months from EDT to assumed remedy hearing, less mitigation earnings</t>
  </si>
  <si>
    <t xml:space="preserve">4. Future loss of earnings</t>
  </si>
  <si>
    <t xml:space="preserve">Net monthly salary x further months to expected re-employment</t>
  </si>
  <si>
    <t xml:space="preserve">5. Loss of pension</t>
  </si>
  <si>
    <t xml:space="preserve">Employer pension contribution on gross salary over 24 months (simplified basis)</t>
  </si>
  <si>
    <t xml:space="preserve">6. Loss of contractual benefits</t>
  </si>
  <si>
    <t xml:space="preserve">Private medical cover and company vehicle benefit over 24 months</t>
  </si>
  <si>
    <t xml:space="preserve">7. ACAS uplift (25%)</t>
  </si>
  <si>
    <t xml:space="preserve">Uplift for failure to follow a fair procedure, applied to compensatory heads (3-6)</t>
  </si>
  <si>
    <t xml:space="preserve">8. Injury to feelings</t>
  </si>
  <si>
    <t xml:space="preserve">Middle Vento band (detriment under s.47B ERA 1996)</t>
  </si>
  <si>
    <t xml:space="preserve">15631</t>
  </si>
  <si>
    <t xml:space="preserve">9. Interest</t>
  </si>
  <si>
    <t xml:space="preserve">Interest on injury to feelings award (illustrative)</t>
  </si>
  <si>
    <t xml:space="preserve">900</t>
  </si>
  <si>
    <t xml:space="preserve">TOTAL CLAIMED</t>
  </si>
  <si>
    <t xml:space="preserve">Note: figures are the Claimant's pleaded case and do not reflect any reduction for accelerated receipt, Polkey or mitigation, which are matters in dispute.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</si>
</sst>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5E8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16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5" t="s">
        <v>4</v>
      </c>
      <c r="B6" s="6" t="s">
        <v>5</v>
      </c>
    </row>
    <row r="7" customFormat="false" ht="15" hidden="false" customHeight="true" outlineLevel="0" collapsed="false">
      <c r="A7" s="5" t="s">
        <v>6</v>
      </c>
      <c r="B7" s="6" t="s">
        <v>7</v>
      </c>
    </row>
    <row r="8" customFormat="false" ht="15" hidden="false" customHeight="true" outlineLevel="0" collapsed="false">
      <c r="A8" s="5" t="s">
        <v>8</v>
      </c>
      <c r="B8" s="7" t="n">
        <v>11</v>
      </c>
    </row>
    <row r="9" customFormat="false" ht="15" hidden="false" customHeight="true" outlineLevel="0" collapsed="false">
      <c r="A9" s="5" t="s">
        <v>9</v>
      </c>
      <c r="B9" s="7" t="n">
        <v>78500</v>
      </c>
    </row>
    <row r="10" customFormat="false" ht="15" hidden="false" customHeight="true" outlineLevel="0" collapsed="false">
      <c r="A10" s="5" t="s">
        <v>10</v>
      </c>
      <c r="B10" s="7" t="n">
        <v>4585</v>
      </c>
    </row>
    <row r="11" customFormat="false" ht="15" hidden="false" customHeight="true" outlineLevel="0" collapsed="false">
      <c r="A11" s="5" t="s">
        <v>11</v>
      </c>
      <c r="B11" s="8" t="n">
        <v>0.06</v>
      </c>
    </row>
    <row r="12" customFormat="false" ht="15" hidden="false" customHeight="true" outlineLevel="0" collapsed="false">
      <c r="A12" s="5" t="s">
        <v>12</v>
      </c>
      <c r="B12" s="7" t="n">
        <v>700</v>
      </c>
    </row>
    <row r="13" customFormat="false" ht="15" hidden="false" customHeight="true" outlineLevel="0" collapsed="false">
      <c r="A13" s="5" t="s">
        <v>13</v>
      </c>
      <c r="B13" s="6" t="s">
        <v>14</v>
      </c>
    </row>
    <row r="16" customFormat="false" ht="23.25" hidden="false" customHeight="true" outlineLevel="0" collapsed="false">
      <c r="A16" s="9" t="s">
        <v>15</v>
      </c>
      <c r="B16" s="9" t="s">
        <v>16</v>
      </c>
      <c r="C16" s="9" t="s">
        <v>17</v>
      </c>
      <c r="D16" s="9" t="s">
        <v>18</v>
      </c>
    </row>
    <row r="17" customFormat="false" ht="23.25" hidden="false" customHeight="true" outlineLevel="0" collapsed="false">
      <c r="A17" s="10" t="s">
        <v>19</v>
      </c>
      <c r="B17" s="11" t="s">
        <v>20</v>
      </c>
      <c r="C17" s="12"/>
      <c r="D17" s="13" t="n">
        <f aca="false">ROUND(B12*16.5,0)</f>
        <v>11550</v>
      </c>
    </row>
    <row r="18" customFormat="false" ht="23.25" hidden="false" customHeight="true" outlineLevel="0" collapsed="false">
      <c r="A18" s="10" t="s">
        <v>21</v>
      </c>
      <c r="B18" s="11" t="s">
        <v>22</v>
      </c>
      <c r="C18" s="12"/>
      <c r="D18" s="13" t="s">
        <v>23</v>
      </c>
    </row>
    <row r="19" customFormat="false" ht="23.25" hidden="false" customHeight="true" outlineLevel="0" collapsed="false">
      <c r="A19" s="10" t="s">
        <v>24</v>
      </c>
      <c r="B19" s="11" t="s">
        <v>25</v>
      </c>
      <c r="C19" s="14" t="n">
        <v>11</v>
      </c>
      <c r="D19" s="13" t="n">
        <f aca="false">ROUND(B10*C19-3500,0)</f>
        <v>46935</v>
      </c>
    </row>
    <row r="20" customFormat="false" ht="23.25" hidden="false" customHeight="true" outlineLevel="0" collapsed="false">
      <c r="A20" s="10" t="s">
        <v>26</v>
      </c>
      <c r="B20" s="11" t="s">
        <v>27</v>
      </c>
      <c r="C20" s="14" t="n">
        <v>12</v>
      </c>
      <c r="D20" s="13" t="n">
        <f aca="false">ROUND(B10*C20,0)</f>
        <v>55020</v>
      </c>
    </row>
    <row r="21" customFormat="false" ht="23.25" hidden="false" customHeight="true" outlineLevel="0" collapsed="false">
      <c r="A21" s="10" t="s">
        <v>28</v>
      </c>
      <c r="B21" s="11" t="s">
        <v>29</v>
      </c>
      <c r="C21" s="14" t="n">
        <v>24</v>
      </c>
      <c r="D21" s="13" t="n">
        <f aca="false">ROUND(B9/12*B11*C21,0)</f>
        <v>9420</v>
      </c>
    </row>
    <row r="22" customFormat="false" ht="23.25" hidden="false" customHeight="true" outlineLevel="0" collapsed="false">
      <c r="A22" s="10" t="s">
        <v>30</v>
      </c>
      <c r="B22" s="11" t="s">
        <v>31</v>
      </c>
      <c r="C22" s="14" t="n">
        <v>24</v>
      </c>
      <c r="D22" s="13" t="n">
        <f aca="false">ROUND(420*C22,0)</f>
        <v>10080</v>
      </c>
    </row>
    <row r="23" customFormat="false" ht="23.25" hidden="false" customHeight="true" outlineLevel="0" collapsed="false">
      <c r="A23" s="10" t="s">
        <v>32</v>
      </c>
      <c r="B23" s="11" t="s">
        <v>33</v>
      </c>
      <c r="C23" s="12"/>
      <c r="D23" s="13" t="n">
        <f aca="false">ROUND(0.25*SUM(D19:D22),0)</f>
        <v>30364</v>
      </c>
    </row>
    <row r="24" customFormat="false" ht="15" hidden="false" customHeight="true" outlineLevel="0" collapsed="false">
      <c r="A24" s="10" t="s">
        <v>34</v>
      </c>
      <c r="B24" s="11" t="s">
        <v>35</v>
      </c>
      <c r="C24" s="12"/>
      <c r="D24" s="13" t="s">
        <v>36</v>
      </c>
    </row>
    <row r="25" customFormat="false" ht="15" hidden="false" customHeight="true" outlineLevel="0" collapsed="false">
      <c r="A25" s="10" t="s">
        <v>37</v>
      </c>
      <c r="B25" s="11" t="s">
        <v>38</v>
      </c>
      <c r="C25" s="12"/>
      <c r="D25" s="13" t="s">
        <v>39</v>
      </c>
    </row>
    <row r="26" customFormat="false" ht="15" hidden="false" customHeight="true" outlineLevel="0" collapsed="false">
      <c r="A26" s="15" t="s">
        <v>40</v>
      </c>
      <c r="B26" s="16"/>
      <c r="C26" s="16"/>
      <c r="D26" s="17" t="n">
        <f aca="false">SUM(D17:D25)</f>
        <v>163369</v>
      </c>
    </row>
    <row r="28" customFormat="false" ht="15" hidden="false" customHeight="true" outlineLevel="0" collapsed="false">
      <c r="A28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2026-06-25T14:57:44Z</dcterms:created>
  <dc:creator>openpyxl</dc:creator>
  <dc:description/>
  <dc:language>en-US</dc:language>
  <cp:lastModifiedBy/>
  <dcterms:modified xsi:type="dcterms:W3CDTF">2026-06-25T14:58:06Z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