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lement Breakdow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<sst xmlns="http://schemas.openxmlformats.org/spreadsheetml/2006/main" count="23" uniqueCount="23">
  <si>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SETTLEMENT — PAYMENT BREAKDOWN &amp; TAX</t>
  </si>
  <si>
    <t xml:space="preserve">Whitcombe Settlement (WC-00119)  |  Sutherland Logistics Limited  |  Settlement agreement executed 5 June 2026</t>
  </si>
  <si>
    <t xml:space="preserve">Inputs</t>
  </si>
  <si>
    <t xml:space="preserve">Tax-free element cap (s.401-403 ITEPA) (£)</t>
  </si>
  <si>
    <t xml:space="preserve">Statutory redundancy (within tax-free element) (£)</t>
  </si>
  <si>
    <t xml:space="preserve">Compensatory (taxable) element (£)</t>
  </si>
  <si>
    <t xml:space="preserve">Assumed marginal income tax rate</t>
  </si>
  <si>
    <t xml:space="preserve">Legal fee contribution incl. VAT (£)</t>
  </si>
  <si>
    <t xml:space="preserve">Payment component</t>
  </si>
  <si>
    <t xml:space="preserve">Gross (£)</t>
  </si>
  <si>
    <t xml:space="preserve">Tax/NIC (£)</t>
  </si>
  <si>
    <t xml:space="preserve">Net to employee (£)</t>
  </si>
  <si>
    <t xml:space="preserve">Tax-free termination payment</t>
  </si>
  <si>
    <t xml:space="preserve">0</t>
  </si>
  <si>
    <t xml:space="preserve">Compensatory payment (taxable under PAYE)</t>
  </si>
  <si>
    <t xml:space="preserve">Total settlement (payable to employee)</t>
  </si>
  <si>
    <t xml:space="preserve">Plus: legal fee contribution paid direct to Ashworth Quinn LLP (incl. VAT)</t>
  </si>
  <si>
    <t xml:space="preserve">Total cost to Company</t>
  </si>
  <si>
    <t xml:space="preserve">Reconciliation to negotiation history</t>
  </si>
  <si>
    <t xml:space="preserve">Company opening WP offer (30 Apr 2026)</t>
  </si>
  <si>
    <t xml:space="preserve">Claimant counter (08 May 2026)</t>
  </si>
  <si>
    <t xml:space="preserve">Company response (22 May 2026)</t>
  </si>
  <si>
    <t xml:space="preserve">Agreed settlement (executed 05 Jun 2026)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</si>
</sst>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5E8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30000</v>
      </c>
    </row>
    <row r="6" customFormat="false" ht="15" hidden="false" customHeight="false" outlineLevel="0" collapsed="false">
      <c r="A6" s="4" t="s">
        <v>4</v>
      </c>
      <c r="B6" s="5" t="n">
        <v>9990</v>
      </c>
    </row>
    <row r="7" customFormat="false" ht="15" hidden="false" customHeight="false" outlineLevel="0" collapsed="false">
      <c r="A7" s="4" t="s">
        <v>5</v>
      </c>
      <c r="B7" s="5" t="n">
        <v>78000</v>
      </c>
    </row>
    <row r="8" customFormat="false" ht="15" hidden="false" customHeight="false" outlineLevel="0" collapsed="false">
      <c r="A8" s="4" t="s">
        <v>6</v>
      </c>
      <c r="B8" s="6" t="n">
        <v>0.4</v>
      </c>
    </row>
    <row r="9" customFormat="false" ht="15" hidden="false" customHeight="false" outlineLevel="0" collapsed="false">
      <c r="A9" s="4" t="s">
        <v>7</v>
      </c>
      <c r="B9" s="5" t="n">
        <v>15000</v>
      </c>
    </row>
    <row r="11" customFormat="false" ht="15" hidden="false" customHeight="false" outlineLevel="0" collapsed="false">
      <c r="A11" s="7" t="s">
        <v>8</v>
      </c>
      <c r="B11" s="7" t="s">
        <v>9</v>
      </c>
      <c r="C11" s="7" t="s">
        <v>10</v>
      </c>
      <c r="D11" s="7" t="s">
        <v>11</v>
      </c>
    </row>
    <row r="12" customFormat="false" ht="15" hidden="false" customHeight="false" outlineLevel="0" collapsed="false">
      <c r="A12" s="8" t="s">
        <v>12</v>
      </c>
      <c r="B12" s="9" t="n">
        <f aca="false">B5</f>
        <v>30000</v>
      </c>
      <c r="C12" s="9" t="s">
        <v>13</v>
      </c>
      <c r="D12" s="9" t="n">
        <f aca="false">B12-C12</f>
        <v>30000</v>
      </c>
    </row>
    <row r="13" customFormat="false" ht="15" hidden="false" customHeight="false" outlineLevel="0" collapsed="false">
      <c r="A13" s="8" t="s">
        <v>14</v>
      </c>
      <c r="B13" s="9" t="n">
        <f aca="false">B7</f>
        <v>78000</v>
      </c>
      <c r="C13" s="9" t="n">
        <f aca="false">ROUND(B13*B8,0)</f>
        <v>31200</v>
      </c>
      <c r="D13" s="9" t="n">
        <f aca="false">B13-C13</f>
        <v>46800</v>
      </c>
    </row>
    <row r="14" customFormat="false" ht="15" hidden="false" customHeight="false" outlineLevel="0" collapsed="false">
      <c r="A14" s="10" t="s">
        <v>15</v>
      </c>
      <c r="B14" s="11" t="n">
        <f aca="false">SUM(B12:B13)</f>
        <v>108000</v>
      </c>
      <c r="C14" s="12" t="n">
        <f aca="false">SUM(C12:C13)</f>
        <v>31200</v>
      </c>
      <c r="D14" s="11" t="n">
        <f aca="false">SUM(D12:D13)</f>
        <v>76800</v>
      </c>
    </row>
    <row r="16" customFormat="false" ht="15" hidden="false" customHeight="false" outlineLevel="0" collapsed="false">
      <c r="A16" s="4" t="s">
        <v>16</v>
      </c>
      <c r="B16" s="13" t="n">
        <f aca="false">B9</f>
        <v>15000</v>
      </c>
    </row>
    <row r="17" customFormat="false" ht="15" hidden="false" customHeight="false" outlineLevel="0" collapsed="false">
      <c r="A17" s="14" t="s">
        <v>17</v>
      </c>
      <c r="B17" s="15" t="n">
        <f aca="false">B14+B16</f>
        <v>123000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4" t="s">
        <v>19</v>
      </c>
      <c r="B20" s="13" t="n">
        <v>85000</v>
      </c>
    </row>
    <row r="21" customFormat="false" ht="15" hidden="false" customHeight="false" outlineLevel="0" collapsed="false">
      <c r="A21" s="4" t="s">
        <v>20</v>
      </c>
      <c r="B21" s="13" t="n">
        <v>125000</v>
      </c>
    </row>
    <row r="22" customFormat="false" ht="15" hidden="false" customHeight="false" outlineLevel="0" collapsed="false">
      <c r="A22" s="4" t="s">
        <v>21</v>
      </c>
      <c r="B22" s="13" t="n">
        <v>108000</v>
      </c>
    </row>
    <row r="23" customFormat="false" ht="15" hidden="false" customHeight="false" outlineLevel="0" collapsed="false">
      <c r="A23" s="4" t="s">
        <v>22</v>
      </c>
      <c r="B23" s="13" t="n">
        <f aca="false">B12+B13</f>
        <v>108000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2026-06-25T14:57:44Z</dcterms:created>
  <dc:creator>openpyxl</dc:creator>
  <dc:description/>
  <dc:language>en-US</dc:language>
  <cp:lastModifiedBy/>
  <dcterms:modified xsi:type="dcterms:W3CDTF">2026-06-25T14:57:44Z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