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s 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(#,##0)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7F7F7F"/>
      <sz val="9"/>
    </font>
    <font>
      <b val="1"/>
    </font>
    <font>
      <i val="1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0" fillId="4" borderId="1" pivotButton="0" quotePrefix="0" xfId="0"/>
    <xf numFmtId="164" fontId="0" fillId="4" borderId="1" pivotButton="0" quotePrefix="0" xfId="0"/>
    <xf numFmtId="0" fontId="3" fillId="0" borderId="1" pivotButton="0" quotePrefix="0" xfId="0"/>
    <xf numFmtId="164" fontId="3" fillId="5" borderId="1" pivotButton="0" quotePrefix="0" xfId="0"/>
    <xf numFmtId="0" fontId="4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46" customWidth="1" min="3" max="3"/>
    <col width="16" customWidth="1" min="4" max="4"/>
  </cols>
  <sheetData>
    <row r="1" ht="24" customHeight="1">
      <c r="A1" s="1" t="inlineStr">
        <is>
          <t>PROJECT NORTHWIND — COMPLETION FUNDS FLOW</t>
        </is>
      </c>
    </row>
    <row r="2" ht="14" customHeight="1">
      <c r="A2" s="2" t="inlineStr">
        <is>
          <t>Sutherland Logistics Limited — amendment &amp; restatement — Effective Date: 26 June 2026 — all amounts in GBP</t>
        </is>
      </c>
    </row>
    <row r="4">
      <c r="A4" s="3" t="inlineStr">
        <is>
          <t>Ref</t>
        </is>
      </c>
      <c r="B4" s="4" t="inlineStr">
        <is>
          <t>Item</t>
        </is>
      </c>
      <c r="C4" s="4" t="inlineStr">
        <is>
          <t>Payer → Payee</t>
        </is>
      </c>
      <c r="D4" s="4" t="inlineStr">
        <is>
          <t>Amount (£)</t>
        </is>
      </c>
    </row>
    <row r="5">
      <c r="A5" s="5" t="inlineStr">
        <is>
          <t>1</t>
        </is>
      </c>
      <c r="B5" s="5" t="inlineStr">
        <is>
          <t>Facility B advance (new money)</t>
        </is>
      </c>
      <c r="C5" s="5" t="inlineStr">
        <is>
          <t>Sterling Commercial Bank plc → Company</t>
        </is>
      </c>
      <c r="D5" s="6" t="n">
        <v>3500000</v>
      </c>
    </row>
    <row r="6">
      <c r="A6" s="7" t="inlineStr">
        <is>
          <t>2</t>
        </is>
      </c>
      <c r="B6" s="7" t="inlineStr">
        <is>
          <t>Amendment fee</t>
        </is>
      </c>
      <c r="C6" s="7" t="inlineStr">
        <is>
          <t>Company → Sterling Commercial Bank plc</t>
        </is>
      </c>
      <c r="D6" s="8" t="n">
        <v>-285000</v>
      </c>
    </row>
    <row r="7">
      <c r="A7" s="5" t="inlineStr">
        <is>
          <t>3</t>
        </is>
      </c>
      <c r="B7" s="5" t="inlineStr">
        <is>
          <t>Legal fees — Whitfield Carter LLP (net of £25k on account)</t>
        </is>
      </c>
      <c r="C7" s="5" t="inlineStr">
        <is>
          <t>Company → Whitfield Carter LLP</t>
        </is>
      </c>
      <c r="D7" s="6" t="n">
        <v>-42500</v>
      </c>
    </row>
    <row r="8">
      <c r="A8" s="7" t="inlineStr">
        <is>
          <t>4</t>
        </is>
      </c>
      <c r="B8" s="7" t="inlineStr">
        <is>
          <t>Legal fees — Ashworth Quinn LLP (Bank's counsel)</t>
        </is>
      </c>
      <c r="C8" s="7" t="inlineStr">
        <is>
          <t>Company → Ashworth Quinn LLP</t>
        </is>
      </c>
      <c r="D8" s="8" t="n">
        <v>-31800</v>
      </c>
    </row>
    <row r="9">
      <c r="A9" s="5" t="inlineStr">
        <is>
          <t>5</t>
        </is>
      </c>
      <c r="B9" s="5" t="inlineStr">
        <is>
          <t>IBR fees — Marlow Tax &amp; Advisory Ltd (balance)</t>
        </is>
      </c>
      <c r="C9" s="5" t="inlineStr">
        <is>
          <t>Company → Marlow Tax &amp; Advisory Ltd</t>
        </is>
      </c>
      <c r="D9" s="6" t="n">
        <v>-18400</v>
      </c>
    </row>
    <row r="10">
      <c r="A10" s="7" t="inlineStr">
        <is>
          <t>6</t>
        </is>
      </c>
      <c r="B10" s="7" t="inlineStr">
        <is>
          <t>Companies House &amp; Land Registry fees</t>
        </is>
      </c>
      <c r="C10" s="7" t="inlineStr">
        <is>
          <t>Company → HMLR / Companies House</t>
        </is>
      </c>
      <c r="D10" s="8" t="n">
        <v>-1100</v>
      </c>
    </row>
    <row r="11">
      <c r="B11" s="9" t="inlineStr">
        <is>
          <t>Net new liquidity retained by Company</t>
        </is>
      </c>
      <c r="C11" s="5" t="n"/>
      <c r="D11" s="10">
        <f>SUM(D5:D10)</f>
        <v/>
      </c>
    </row>
    <row r="13">
      <c r="B13" s="11" t="inlineStr">
        <is>
          <t>Check — gross new money</t>
        </is>
      </c>
      <c r="D13" s="12">
        <f>D5</f>
        <v/>
      </c>
    </row>
    <row r="14">
      <c r="B14" s="11" t="inlineStr">
        <is>
          <t>Check — total fees &amp; costs</t>
        </is>
      </c>
      <c r="D14" s="12">
        <f>SUM(D6:D10)</f>
        <v/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2026-06-26T12:47:19Z</dcterms:created>
  <dcterms:modified xmlns:dcterms="http://purl.org/dc/terms/" xmlns:xsi="http://www.w3.org/2001/XMLSchema-instance" xsi:type="dcterms:W3CDTF">2026-06-26T12:47:19Z</dcterms:modified>
</cp:coreProperties>
</file>