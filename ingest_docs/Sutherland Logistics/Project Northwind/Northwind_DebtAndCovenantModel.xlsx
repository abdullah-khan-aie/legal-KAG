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  <sheet xmlns:r="http://schemas.openxmlformats.org/officeDocument/2006/relationships" name="Covenant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"/>
    <numFmt numFmtId="165" formatCode="0.00&quot;x&quot;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7F7F7F"/>
      <sz val="9"/>
    </font>
    <font>
      <b val="1"/>
    </font>
    <font>
      <i val="1"/>
      <sz val="9"/>
    </font>
    <font>
      <i val="1"/>
      <color rgb="007F7F7F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PROJECT NORTHWIND — DEBT &amp; AMORTISATION SCHEDULE</t>
        </is>
      </c>
    </row>
    <row r="2" ht="14" customHeight="1">
      <c r="A2" s="2" t="inlineStr">
        <is>
          <t>Post-restructuring facilities — opening balances at Effective Date — £'000 unless stated</t>
        </is>
      </c>
    </row>
    <row r="4">
      <c r="A4" s="3" t="inlineStr">
        <is>
          <t>Facility</t>
        </is>
      </c>
      <c r="B4" s="4" t="inlineStr">
        <is>
          <t>Opening (£)</t>
        </is>
      </c>
      <c r="C4" s="4" t="inlineStr">
        <is>
          <t>Margin</t>
        </is>
      </c>
      <c r="D4" s="4" t="inlineStr">
        <is>
          <t>Maturity</t>
        </is>
      </c>
      <c r="E4" s="4" t="inlineStr">
        <is>
          <t>Repayment</t>
        </is>
      </c>
      <c r="F4" s="4" t="inlineStr">
        <is>
          <t>FY26 amort.</t>
        </is>
      </c>
      <c r="G4" s="4" t="inlineStr">
        <is>
          <t>FY27 amort.</t>
        </is>
      </c>
      <c r="H4" s="4" t="inlineStr">
        <is>
          <t>FY28 amort.</t>
        </is>
      </c>
    </row>
    <row r="5">
      <c r="A5" s="5" t="inlineStr">
        <is>
          <t>Facility A (term, amended)</t>
        </is>
      </c>
      <c r="B5" s="6" t="n">
        <v>14250000</v>
      </c>
      <c r="C5" s="7" t="inlineStr">
        <is>
          <t>4.25% + SONIA</t>
        </is>
      </c>
      <c r="D5" s="7" t="inlineStr">
        <is>
          <t>30 Jun 2029</t>
        </is>
      </c>
      <c r="E5" s="7" t="inlineStr">
        <is>
          <t>Quarterly</t>
        </is>
      </c>
      <c r="F5" s="6" t="n">
        <v>1500000</v>
      </c>
      <c r="G5" s="6" t="n">
        <v>2500000</v>
      </c>
      <c r="H5" s="6" t="n">
        <v>3000000</v>
      </c>
    </row>
    <row r="6">
      <c r="A6" s="8" t="inlineStr">
        <is>
          <t>Facility B (super-senior, new)</t>
        </is>
      </c>
      <c r="B6" s="9" t="n">
        <v>3500000</v>
      </c>
      <c r="C6" s="10" t="inlineStr">
        <is>
          <t>6.50% + SONIA</t>
        </is>
      </c>
      <c r="D6" s="10" t="inlineStr">
        <is>
          <t>30 Jun 2029</t>
        </is>
      </c>
      <c r="E6" s="10" t="inlineStr">
        <is>
          <t>Bullet</t>
        </is>
      </c>
      <c r="F6" s="9" t="n">
        <v>0</v>
      </c>
      <c r="G6" s="9" t="n">
        <v>0</v>
      </c>
      <c r="H6" s="9" t="n">
        <v>0</v>
      </c>
    </row>
    <row r="7">
      <c r="A7" s="5" t="inlineStr">
        <is>
          <t>Revolving Facility (drawn)</t>
        </is>
      </c>
      <c r="B7" s="6" t="n">
        <v>6400000</v>
      </c>
      <c r="C7" s="7" t="inlineStr">
        <is>
          <t>4.00% + SONIA</t>
        </is>
      </c>
      <c r="D7" s="7" t="inlineStr">
        <is>
          <t>30 Jun 2029</t>
        </is>
      </c>
      <c r="E7" s="7" t="inlineStr">
        <is>
          <t>Revolving</t>
        </is>
      </c>
      <c r="F7" s="6" t="n">
        <v>0</v>
      </c>
      <c r="G7" s="6" t="n">
        <v>0</v>
      </c>
      <c r="H7" s="6" t="n">
        <v>0</v>
      </c>
    </row>
    <row r="8">
      <c r="A8" s="11" t="inlineStr">
        <is>
          <t>Total senior debt</t>
        </is>
      </c>
      <c r="B8" s="12">
        <f>B5+B6+B7</f>
        <v/>
      </c>
      <c r="C8" s="5" t="n"/>
      <c r="D8" s="5" t="n"/>
      <c r="E8" s="5" t="n"/>
      <c r="F8" s="12">
        <f>F5+F6+F7</f>
        <v/>
      </c>
      <c r="G8" s="12">
        <f>G5+G6+G7</f>
        <v/>
      </c>
      <c r="H8" s="12">
        <f>H5+H6+H7</f>
        <v/>
      </c>
    </row>
    <row r="10">
      <c r="A10" s="13" t="inlineStr">
        <is>
          <t>Indicative annual cash interest (SONIA assumed 4.50%)</t>
        </is>
      </c>
    </row>
    <row r="11">
      <c r="A11" s="3" t="inlineStr">
        <is>
          <t>Facility</t>
        </is>
      </c>
      <c r="B11" s="4" t="inlineStr">
        <is>
          <t>Balance (£)</t>
        </is>
      </c>
      <c r="C11" s="4" t="inlineStr">
        <is>
          <t>All-in rate</t>
        </is>
      </c>
      <c r="D11" s="4" t="inlineStr">
        <is>
          <t>Annual interest (£)</t>
        </is>
      </c>
    </row>
    <row r="12">
      <c r="A12" s="5" t="inlineStr">
        <is>
          <t>Facility A</t>
        </is>
      </c>
      <c r="B12" s="6">
        <f>B5</f>
        <v/>
      </c>
      <c r="C12" s="14" t="n">
        <v>0.08749999999999999</v>
      </c>
      <c r="D12" s="6">
        <f>B12*C12</f>
        <v/>
      </c>
    </row>
    <row r="13">
      <c r="A13" s="5" t="inlineStr">
        <is>
          <t>Facility B</t>
        </is>
      </c>
      <c r="B13" s="6">
        <f>B6</f>
        <v/>
      </c>
      <c r="C13" s="14" t="n">
        <v>0.11</v>
      </c>
      <c r="D13" s="6">
        <f>B13*C13</f>
        <v/>
      </c>
    </row>
    <row r="14">
      <c r="A14" s="5" t="inlineStr">
        <is>
          <t>Revolving Facility</t>
        </is>
      </c>
      <c r="B14" s="6">
        <f>B7</f>
        <v/>
      </c>
      <c r="C14" s="14" t="n">
        <v>0.08499999999999999</v>
      </c>
      <c r="D14" s="6">
        <f>B14*C14</f>
        <v/>
      </c>
    </row>
    <row r="15">
      <c r="A15" s="11" t="inlineStr">
        <is>
          <t>Total cash interest p.a.</t>
        </is>
      </c>
      <c r="D15" s="12">
        <f>SUM(D12:D14)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PROJECT NORTHWIND — FINANCIAL COVENANT MODEL</t>
        </is>
      </c>
    </row>
    <row r="2" ht="14" customHeight="1">
      <c r="A2" s="2" t="inlineStr">
        <is>
          <t>Base-case projections vs amended covenant package — £'000 unless stated</t>
        </is>
      </c>
    </row>
    <row r="4">
      <c r="A4" s="3" t="inlineStr">
        <is>
          <t>Test date</t>
        </is>
      </c>
      <c r="B4" s="4" t="inlineStr">
        <is>
          <t>EBITDA (LTM)</t>
        </is>
      </c>
      <c r="C4" s="4" t="inlineStr">
        <is>
          <t>Net debt</t>
        </is>
      </c>
      <c r="D4" s="4" t="inlineStr">
        <is>
          <t>Leverage</t>
        </is>
      </c>
      <c r="E4" s="4" t="inlineStr">
        <is>
          <t>DSCR</t>
        </is>
      </c>
      <c r="F4" s="4" t="inlineStr">
        <is>
          <t>Liquidity</t>
        </is>
      </c>
    </row>
    <row r="5">
      <c r="A5" s="7" t="inlineStr">
        <is>
          <t>30 Sep 2026</t>
        </is>
      </c>
      <c r="B5" s="6" t="n">
        <v>5050</v>
      </c>
      <c r="C5" s="6" t="n">
        <v>23250</v>
      </c>
      <c r="D5" s="15">
        <f>C5/B5</f>
        <v/>
      </c>
      <c r="E5" s="15" t="n">
        <v>1.08</v>
      </c>
      <c r="F5" s="6" t="n">
        <v>2900</v>
      </c>
    </row>
    <row r="6">
      <c r="A6" s="10" t="inlineStr">
        <is>
          <t>31 Dec 2026</t>
        </is>
      </c>
      <c r="B6" s="9" t="n">
        <v>5480</v>
      </c>
      <c r="C6" s="9" t="n">
        <v>22400</v>
      </c>
      <c r="D6" s="16">
        <f>C6/B6</f>
        <v/>
      </c>
      <c r="E6" s="16" t="n">
        <v>1.18</v>
      </c>
      <c r="F6" s="9" t="n">
        <v>3400</v>
      </c>
    </row>
    <row r="7">
      <c r="A7" s="7" t="inlineStr">
        <is>
          <t>31 Mar 2027</t>
        </is>
      </c>
      <c r="B7" s="6" t="n">
        <v>5760</v>
      </c>
      <c r="C7" s="6" t="n">
        <v>21600</v>
      </c>
      <c r="D7" s="15">
        <f>C7/B7</f>
        <v/>
      </c>
      <c r="E7" s="15" t="n">
        <v>1.27</v>
      </c>
      <c r="F7" s="6" t="n">
        <v>3850</v>
      </c>
    </row>
    <row r="8">
      <c r="A8" s="10" t="inlineStr">
        <is>
          <t>30 Jun 2027</t>
        </is>
      </c>
      <c r="B8" s="9" t="n">
        <v>6010</v>
      </c>
      <c r="C8" s="9" t="n">
        <v>20850</v>
      </c>
      <c r="D8" s="16">
        <f>C8/B8</f>
        <v/>
      </c>
      <c r="E8" s="16" t="n">
        <v>1.34</v>
      </c>
      <c r="F8" s="9" t="n">
        <v>4300</v>
      </c>
    </row>
    <row r="10">
      <c r="A10" s="11" t="inlineStr">
        <is>
          <t>Covenant level</t>
        </is>
      </c>
      <c r="B10" s="5" t="n"/>
      <c r="C10" s="5" t="n"/>
      <c r="D10" s="17" t="inlineStr">
        <is>
          <t>≤3.50x → 3.00x</t>
        </is>
      </c>
      <c r="E10" s="17" t="inlineStr">
        <is>
          <t>≥1.10x</t>
        </is>
      </c>
      <c r="F10" s="17" t="inlineStr">
        <is>
          <t>≥£1,500</t>
        </is>
      </c>
    </row>
    <row r="12">
      <c r="A12" s="18" t="inlineStr">
        <is>
          <t>Headroom check (leverage vs opening 3.50x)</t>
        </is>
      </c>
    </row>
    <row r="13">
      <c r="A13" s="3" t="inlineStr">
        <is>
          <t>Test date</t>
        </is>
      </c>
      <c r="B13" s="4" t="inlineStr">
        <is>
          <t>Leverage</t>
        </is>
      </c>
      <c r="C13" s="4" t="inlineStr">
        <is>
          <t>Limit</t>
        </is>
      </c>
      <c r="D13" s="4" t="inlineStr">
        <is>
          <t>Pass/Fail</t>
        </is>
      </c>
    </row>
    <row r="14">
      <c r="A14" s="7" t="inlineStr">
        <is>
          <t>30 Sep 2026</t>
        </is>
      </c>
      <c r="B14" s="15">
        <f>D5</f>
        <v/>
      </c>
      <c r="C14" s="15" t="n">
        <v>3.5</v>
      </c>
      <c r="D14" s="7">
        <f>IF(B14&lt;=C14,"PASS","FAIL")</f>
        <v/>
      </c>
    </row>
    <row r="15">
      <c r="A15" s="7" t="inlineStr">
        <is>
          <t>31 Dec 2026</t>
        </is>
      </c>
      <c r="B15" s="15">
        <f>D6</f>
        <v/>
      </c>
      <c r="C15" s="15" t="n">
        <v>3.5</v>
      </c>
      <c r="D15" s="7">
        <f>IF(B15&lt;=C15,"PASS","FAIL")</f>
        <v/>
      </c>
    </row>
    <row r="16">
      <c r="A16" s="7" t="inlineStr">
        <is>
          <t>31 Mar 2027</t>
        </is>
      </c>
      <c r="B16" s="15">
        <f>D7</f>
        <v/>
      </c>
      <c r="C16" s="15" t="n">
        <v>3.5</v>
      </c>
      <c r="D16" s="7">
        <f>IF(B16&lt;=C16,"PASS","FAIL")</f>
        <v/>
      </c>
    </row>
    <row r="17">
      <c r="A17" s="7" t="inlineStr">
        <is>
          <t>30 Jun 2027</t>
        </is>
      </c>
      <c r="B17" s="15">
        <f>D8</f>
        <v/>
      </c>
      <c r="C17" s="15" t="n">
        <v>3.5</v>
      </c>
      <c r="D17" s="7">
        <f>IF(B17&lt;=C17,"PASS","FAIL")</f>
        <v/>
      </c>
    </row>
    <row r="19">
      <c r="A19" s="19" t="inlineStr">
        <is>
          <t>Assumptions: SONIA 4.50%; new contracts ramp from Q2 2026; depot rationalisation completes Q3 2026.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2026-06-26T12:47:19Z</dcterms:created>
  <dcterms:modified xmlns:dcterms="http://purl.org/dc/terms/" xmlns:xsi="http://www.w3.org/2001/XMLSchema-instance" xsi:type="dcterms:W3CDTF">2026-06-26T12:47:19Z</dcterms:modified>
</cp:coreProperties>
</file>