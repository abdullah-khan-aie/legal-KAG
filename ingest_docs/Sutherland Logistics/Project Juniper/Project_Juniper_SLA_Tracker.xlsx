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A_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<sst xmlns="http://schemas.openxmlformats.org/spreadsheetml/2006/main" count="21" uniqueCount="21">
  <si>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Project Juniper — Service Level &amp; Service Credit Tracker (illustrative)</t>
  </si>
  <si>
    <t xml:space="preserve">Sutherland Logistics Ltd / Wexbourne Retail Group Ltd. Monthly charges base used for credit calc = £325,000 (indicative).</t>
  </si>
  <si>
    <t xml:space="preserve">Monthly Charges base (£)</t>
  </si>
  <si>
    <t xml:space="preserve">KPI</t>
  </si>
  <si>
    <t xml:space="preserve">Target</t>
  </si>
  <si>
    <t xml:space="preserve">Jul-26</t>
  </si>
  <si>
    <t xml:space="preserve">Aug-26</t>
  </si>
  <si>
    <t xml:space="preserve">Sep-26</t>
  </si>
  <si>
    <t xml:space="preserve">Oct-26</t>
  </si>
  <si>
    <t xml:space="preserve">Worst month</t>
  </si>
  <si>
    <t xml:space="preserve">Worst shortfall (pp)</t>
  </si>
  <si>
    <t xml:space="preserve">Credit band %</t>
  </si>
  <si>
    <t xml:space="preserve">Credit (£)</t>
  </si>
  <si>
    <t xml:space="preserve">Order despatch accuracy (OTIF)</t>
  </si>
  <si>
    <t xml:space="preserve">Inventory record accuracy</t>
  </si>
  <si>
    <t xml:space="preserve">Inbound put-away within 24h</t>
  </si>
  <si>
    <t xml:space="preserve">Returns processed within 48h</t>
  </si>
  <si>
    <t xml:space="preserve">Despatch within agreed cut-off</t>
  </si>
  <si>
    <t xml:space="preserve">Total Service Credits (worst-case, before 15% cap)</t>
  </si>
  <si>
    <t xml:space="preserve">Period cap (15% of monthly Charges, clause 5.2)</t>
  </si>
  <si>
    <t xml:space="preserve">Credits payable (lower of total and cap)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</si>
</sst>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0.00%"/>
    <numFmt numFmtId="167" formatCode="0.0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  <c r="B3" s="3" t="n">
        <v>325000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6" t="n">
        <v>0.99</v>
      </c>
      <c r="C6" s="6" t="n">
        <v>0.991</v>
      </c>
      <c r="D6" s="6" t="n">
        <v>0.987</v>
      </c>
      <c r="E6" s="6" t="n">
        <v>0.993</v>
      </c>
      <c r="F6" s="6" t="n">
        <v>0.995</v>
      </c>
      <c r="G6" s="7" t="n">
        <f aca="false">MIN(C6:F6)</f>
        <v>0.987</v>
      </c>
      <c r="H6" s="8" t="n">
        <f aca="false">MAX(0,(B6-G6))*100</f>
        <v>0.3</v>
      </c>
      <c r="I6" s="9" t="n">
        <f aca="false">IF(H6=0,0,IF(H6&lt;=0.5,0.01,IF(H6&lt;=1.5,0.025,IF(H6&lt;=3,0.04,0.06))))</f>
        <v>0.01</v>
      </c>
      <c r="J6" s="10" t="n">
        <f aca="false">I6*$B$3</f>
        <v>3250</v>
      </c>
    </row>
    <row r="7" customFormat="false" ht="15" hidden="false" customHeight="false" outlineLevel="0" collapsed="false">
      <c r="A7" s="5" t="s">
        <v>14</v>
      </c>
      <c r="B7" s="6" t="n">
        <v>0.9995</v>
      </c>
      <c r="C7" s="6" t="n">
        <v>0.9996</v>
      </c>
      <c r="D7" s="6" t="n">
        <v>0.9994</v>
      </c>
      <c r="E7" s="6" t="n">
        <v>0.9997</v>
      </c>
      <c r="F7" s="6" t="n">
        <v>0.9998</v>
      </c>
      <c r="G7" s="7" t="n">
        <f aca="false">MIN(C7:F7)</f>
        <v>0.9994</v>
      </c>
      <c r="H7" s="8" t="n">
        <f aca="false">MAX(0,(B7-G7))*100</f>
        <v>0.01000000000001</v>
      </c>
      <c r="I7" s="9" t="n">
        <f aca="false">IF(H7=0,0,IF(H7&lt;=0.5,0.01,IF(H7&lt;=1.5,0.025,IF(H7&lt;=3,0.04,0.06))))</f>
        <v>0.01</v>
      </c>
      <c r="J7" s="10" t="n">
        <f aca="false">I7*$B$3</f>
        <v>3250</v>
      </c>
    </row>
    <row r="8" customFormat="false" ht="15" hidden="false" customHeight="false" outlineLevel="0" collapsed="false">
      <c r="A8" s="5" t="s">
        <v>15</v>
      </c>
      <c r="B8" s="6" t="n">
        <v>0.98</v>
      </c>
      <c r="C8" s="6" t="n">
        <v>0.982</v>
      </c>
      <c r="D8" s="6" t="n">
        <v>0.971</v>
      </c>
      <c r="E8" s="6" t="n">
        <v>0.985</v>
      </c>
      <c r="F8" s="6" t="n">
        <v>0.988</v>
      </c>
      <c r="G8" s="7" t="n">
        <f aca="false">MIN(C8:F8)</f>
        <v>0.971</v>
      </c>
      <c r="H8" s="8" t="n">
        <f aca="false">MAX(0,(B8-G8))*100</f>
        <v>0.900000000000001</v>
      </c>
      <c r="I8" s="9" t="n">
        <f aca="false">IF(H8=0,0,IF(H8&lt;=0.5,0.01,IF(H8&lt;=1.5,0.025,IF(H8&lt;=3,0.04,0.06))))</f>
        <v>0.025</v>
      </c>
      <c r="J8" s="10" t="n">
        <f aca="false">I8*$B$3</f>
        <v>8125</v>
      </c>
    </row>
    <row r="9" customFormat="false" ht="15" hidden="false" customHeight="false" outlineLevel="0" collapsed="false">
      <c r="A9" s="5" t="s">
        <v>16</v>
      </c>
      <c r="B9" s="6" t="n">
        <v>0.97</v>
      </c>
      <c r="C9" s="6" t="n">
        <v>0.965</v>
      </c>
      <c r="D9" s="6" t="n">
        <v>0.972</v>
      </c>
      <c r="E9" s="6" t="n">
        <v>0.974</v>
      </c>
      <c r="F9" s="6" t="n">
        <v>0.978</v>
      </c>
      <c r="G9" s="7" t="n">
        <f aca="false">MIN(C9:F9)</f>
        <v>0.965</v>
      </c>
      <c r="H9" s="8" t="n">
        <f aca="false">MAX(0,(B9-G9))*100</f>
        <v>0.5</v>
      </c>
      <c r="I9" s="9" t="n">
        <f aca="false">IF(H9=0,0,IF(H9&lt;=0.5,0.01,IF(H9&lt;=1.5,0.025,IF(H9&lt;=3,0.04,0.06))))</f>
        <v>0.01</v>
      </c>
      <c r="J9" s="10" t="n">
        <f aca="false">I9*$B$3</f>
        <v>3250</v>
      </c>
    </row>
    <row r="10" customFormat="false" ht="15" hidden="false" customHeight="false" outlineLevel="0" collapsed="false">
      <c r="A10" s="5" t="s">
        <v>17</v>
      </c>
      <c r="B10" s="6" t="n">
        <v>0.995</v>
      </c>
      <c r="C10" s="6" t="n">
        <v>0.996</v>
      </c>
      <c r="D10" s="6" t="n">
        <v>0.994</v>
      </c>
      <c r="E10" s="6" t="n">
        <v>0.997</v>
      </c>
      <c r="F10" s="6" t="n">
        <v>0.998</v>
      </c>
      <c r="G10" s="7" t="n">
        <f aca="false">MIN(C10:F10)</f>
        <v>0.994</v>
      </c>
      <c r="H10" s="8" t="n">
        <f aca="false">MAX(0,(B10-G10))*100</f>
        <v>0.1</v>
      </c>
      <c r="I10" s="9" t="n">
        <f aca="false">IF(H10=0,0,IF(H10&lt;=0.5,0.01,IF(H10&lt;=1.5,0.025,IF(H10&lt;=3,0.04,0.06))))</f>
        <v>0.01</v>
      </c>
      <c r="J10" s="10" t="n">
        <f aca="false">I10*$B$3</f>
        <v>3250</v>
      </c>
    </row>
    <row r="11" customFormat="false" ht="15" hidden="false" customHeight="false" outlineLevel="0" collapsed="false">
      <c r="A11" s="11" t="s">
        <v>18</v>
      </c>
      <c r="B11" s="12"/>
      <c r="C11" s="12"/>
      <c r="D11" s="12"/>
      <c r="E11" s="12"/>
      <c r="F11" s="12"/>
      <c r="G11" s="12"/>
      <c r="H11" s="12"/>
      <c r="I11" s="12"/>
      <c r="J11" s="13" t="n">
        <f aca="false">SUM(J6:J10)</f>
        <v>21125</v>
      </c>
    </row>
    <row r="12" customFormat="false" ht="15" hidden="false" customHeight="false" outlineLevel="0" collapsed="false">
      <c r="A12" s="5" t="s">
        <v>19</v>
      </c>
      <c r="B12" s="12"/>
      <c r="C12" s="12"/>
      <c r="D12" s="12"/>
      <c r="E12" s="12"/>
      <c r="F12" s="12"/>
      <c r="G12" s="12"/>
      <c r="H12" s="12"/>
      <c r="I12" s="12"/>
      <c r="J12" s="10" t="n">
        <f aca="false">0.15*$B$3</f>
        <v>48750</v>
      </c>
    </row>
    <row r="13" customFormat="false" ht="15" hidden="false" customHeight="false" outlineLevel="0" collapsed="false">
      <c r="A13" s="11" t="s">
        <v>20</v>
      </c>
      <c r="B13" s="12"/>
      <c r="C13" s="12"/>
      <c r="D13" s="12"/>
      <c r="E13" s="12"/>
      <c r="F13" s="12"/>
      <c r="G13" s="12"/>
      <c r="H13" s="12"/>
      <c r="I13" s="12"/>
      <c r="J13" s="14" t="n">
        <f aca="false">MIN(J11,J12)</f>
        <v>21125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2026-06-26T10:16:39Z</dcterms:created>
  <dc:creator>openpyxl</dc:creator>
  <dc:description/>
  <dc:language>en-US</dc:language>
  <cp:lastModifiedBy/>
  <dcterms:modified xsi:type="dcterms:W3CDTF">2026-06-26T10:16:39Z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