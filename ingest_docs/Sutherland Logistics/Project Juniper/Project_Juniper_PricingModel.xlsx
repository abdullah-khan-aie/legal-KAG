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Annual_Charges" sheetId="2" state="visible" r:id="rId4"/>
    <sheet name="4yr_Projec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<sst xmlns="http://schemas.openxmlformats.org/spreadsheetml/2006/main" count="89" uniqueCount="72">
  <si>
    <t xml:space="preserve">Project Juniper — Logistics Services Pricing Model</t>
  </si>
  <si>
    <t xml:space="preserve">Sutherland Logistics Limited (Provider) / Wexbourne Retail Group Limited (Customer)</t>
  </si>
  <si>
    <t xml:space="preserve">Prepared by Whitfield Carter LLP — ref SW/JO/JUN/WC-00137. All figures exclude VAT and pass-through carriage.</t>
  </si>
  <si>
    <t xml:space="preserve">Item</t>
  </si>
  <si>
    <t xml:space="preserve">Value</t>
  </si>
  <si>
    <t xml:space="preserve">Source / note</t>
  </si>
  <si>
    <t xml:space="preserve">Storage rates</t>
  </si>
  <si>
    <t xml:space="preserve">Ambient pallet storage (£/pallet/week)</t>
  </si>
  <si>
    <t xml:space="preserve">Rate card, Sutherland Logistics, Apr 2026</t>
  </si>
  <si>
    <t xml:space="preserve">High-value cage storage (£/pallet/week)</t>
  </si>
  <si>
    <t xml:space="preserve">Flammable store storage (£/pallet/week)</t>
  </si>
  <si>
    <t xml:space="preserve">Handling rates</t>
  </si>
  <si>
    <t xml:space="preserve">Inbound handling (£/case)</t>
  </si>
  <si>
    <t xml:space="preserve">Pick &amp; pack store (£/unit)</t>
  </si>
  <si>
    <t xml:space="preserve">Pick &amp; pack e-com (£/order)</t>
  </si>
  <si>
    <t xml:space="preserve">Returns processing (£/return)</t>
  </si>
  <si>
    <t xml:space="preserve">VAS (£/unit)</t>
  </si>
  <si>
    <t xml:space="preserve">Volumes (Year 1)</t>
  </si>
  <si>
    <t xml:space="preserve">Avg ambient pallets</t>
  </si>
  <si>
    <t xml:space="preserve">Customer forecast, Mar 2026</t>
  </si>
  <si>
    <t xml:space="preserve">Avg high-value cage pallets</t>
  </si>
  <si>
    <t xml:space="preserve">Avg flammable store pallets</t>
  </si>
  <si>
    <t xml:space="preserve">Inbound cases (annual)</t>
  </si>
  <si>
    <t xml:space="preserve">Pick &amp; pack store units (annual)</t>
  </si>
  <si>
    <t xml:space="preserve">E-com orders (annual)</t>
  </si>
  <si>
    <t xml:space="preserve">Returns (annual)</t>
  </si>
  <si>
    <t xml:space="preserve">VAS units (annual)</t>
  </si>
  <si>
    <t xml:space="preserve">Other</t>
  </si>
  <si>
    <t xml:space="preserve">Weeks per year</t>
  </si>
  <si>
    <t xml:space="preserve">Convention</t>
  </si>
  <si>
    <t xml:space="preserve">Mobilisation fee (one-off)</t>
  </si>
  <si>
    <t xml:space="preserve">Agreed, clause 9.1</t>
  </si>
  <si>
    <t xml:space="preserve">Indexation cap (final, clause 9.3)</t>
  </si>
  <si>
    <t xml:space="preserve">Negotiated outcome v3</t>
  </si>
  <si>
    <t xml:space="preserve">Liability cap Year 1 (final, clause 15.3)</t>
  </si>
  <si>
    <t xml:space="preserve">137.5% of Year 1 charges (rounded)</t>
  </si>
  <si>
    <t xml:space="preserve">Year 1 Annualised Charges (£, excl. VAT &amp; carriage)</t>
  </si>
  <si>
    <t xml:space="preserve">Charge line</t>
  </si>
  <si>
    <t xml:space="preserve">Rate</t>
  </si>
  <si>
    <t xml:space="preserve">Unit basis</t>
  </si>
  <si>
    <t xml:space="preserve">Annual volume</t>
  </si>
  <si>
    <t xml:space="preserve">Annual charge (£)</t>
  </si>
  <si>
    <t xml:space="preserve">Ambient pallet storage</t>
  </si>
  <si>
    <t xml:space="preserve">pallets x 52 wks</t>
  </si>
  <si>
    <t xml:space="preserve">High-value cage storage</t>
  </si>
  <si>
    <t xml:space="preserve">Flammable store storage</t>
  </si>
  <si>
    <t xml:space="preserve">Inbound handling</t>
  </si>
  <si>
    <t xml:space="preserve">cases</t>
  </si>
  <si>
    <t xml:space="preserve">Pick &amp; pack (store)</t>
  </si>
  <si>
    <t xml:space="preserve">units</t>
  </si>
  <si>
    <t xml:space="preserve">Pick &amp; pack (e-com)</t>
  </si>
  <si>
    <t xml:space="preserve">orders</t>
  </si>
  <si>
    <t xml:space="preserve">Returns processing</t>
  </si>
  <si>
    <t xml:space="preserve">returns</t>
  </si>
  <si>
    <t xml:space="preserve">VAS (gift-wrap etc.)</t>
  </si>
  <si>
    <t xml:space="preserve">Total annualised Charges (Year 1)</t>
  </si>
  <si>
    <t xml:space="preserve">Mobilisation fee (one-off, clause 9.1)</t>
  </si>
  <si>
    <t xml:space="preserve">Implied liability cap Year 1 (137.5% of Charges)</t>
  </si>
  <si>
    <t xml:space="preserve">Check vs final cap (clause 15.3, £5,375,000)</t>
  </si>
  <si>
    <t xml:space="preserve">Four-Year Charge Projection (CPIH indexation, final cap 3.5%)</t>
  </si>
  <si>
    <t xml:space="preserve">Year</t>
  </si>
  <si>
    <t xml:space="preserve">Year 1</t>
  </si>
  <si>
    <t xml:space="preserve">Year 2</t>
  </si>
  <si>
    <t xml:space="preserve">Year 3</t>
  </si>
  <si>
    <t xml:space="preserve">Year 4</t>
  </si>
  <si>
    <t xml:space="preserve">Indexation applied</t>
  </si>
  <si>
    <t xml:space="preserve">-</t>
  </si>
  <si>
    <t xml:space="preserve">Annual Charges (£)</t>
  </si>
  <si>
    <t xml:space="preserve">Cumulative (£)</t>
  </si>
  <si>
    <t xml:space="preserve">Total contract value over Initial Term (4 yrs, charges only)</t>
  </si>
  <si>
    <t xml:space="preserve">Plus mobilisation fee</t>
  </si>
  <si>
    <t xml:space="preserve">Total Initial-Term value incl. mobilisation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</si>
</sst>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&quot;(£&quot;#,##0\);\-"/>
    <numFmt numFmtId="166" formatCode="0.0%"/>
    <numFmt numFmtId="167" formatCode="\£#,##0.00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4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4" t="s">
        <v>3</v>
      </c>
      <c r="B4" s="4" t="s">
        <v>4</v>
      </c>
      <c r="C4" s="4" t="s">
        <v>5</v>
      </c>
    </row>
    <row r="5" customFormat="false" ht="15" hidden="false" customHeight="true" outlineLevel="0" collapsed="false">
      <c r="A5" s="5" t="s">
        <v>6</v>
      </c>
      <c r="B5" s="6"/>
      <c r="C5" s="6"/>
    </row>
    <row r="6" customFormat="false" ht="15" hidden="false" customHeight="true" outlineLevel="0" collapsed="false">
      <c r="A6" s="7" t="s">
        <v>7</v>
      </c>
      <c r="B6" s="8" t="n">
        <v>3.1</v>
      </c>
      <c r="C6" s="9" t="s">
        <v>8</v>
      </c>
    </row>
    <row r="7" customFormat="false" ht="15" hidden="false" customHeight="true" outlineLevel="0" collapsed="false">
      <c r="A7" s="7" t="s">
        <v>9</v>
      </c>
      <c r="B7" s="8" t="n">
        <v>6.2</v>
      </c>
      <c r="C7" s="9" t="s">
        <v>8</v>
      </c>
    </row>
    <row r="8" customFormat="false" ht="15" hidden="false" customHeight="true" outlineLevel="0" collapsed="false">
      <c r="A8" s="7" t="s">
        <v>10</v>
      </c>
      <c r="B8" s="8" t="n">
        <v>5.4</v>
      </c>
      <c r="C8" s="9" t="s">
        <v>8</v>
      </c>
    </row>
    <row r="9" customFormat="false" ht="15" hidden="false" customHeight="true" outlineLevel="0" collapsed="false">
      <c r="A9" s="5" t="s">
        <v>11</v>
      </c>
      <c r="B9" s="6"/>
      <c r="C9" s="6"/>
    </row>
    <row r="10" customFormat="false" ht="15" hidden="false" customHeight="true" outlineLevel="0" collapsed="false">
      <c r="A10" s="7" t="s">
        <v>12</v>
      </c>
      <c r="B10" s="10" t="n">
        <v>0.42</v>
      </c>
      <c r="C10" s="9" t="s">
        <v>8</v>
      </c>
    </row>
    <row r="11" customFormat="false" ht="15" hidden="false" customHeight="true" outlineLevel="0" collapsed="false">
      <c r="A11" s="7" t="s">
        <v>13</v>
      </c>
      <c r="B11" s="10" t="n">
        <v>0.06</v>
      </c>
      <c r="C11" s="9" t="s">
        <v>8</v>
      </c>
    </row>
    <row r="12" customFormat="false" ht="15" hidden="false" customHeight="true" outlineLevel="0" collapsed="false">
      <c r="A12" s="7" t="s">
        <v>14</v>
      </c>
      <c r="B12" s="11" t="n">
        <v>0.78</v>
      </c>
      <c r="C12" s="9" t="s">
        <v>8</v>
      </c>
    </row>
    <row r="13" customFormat="false" ht="15" hidden="false" customHeight="true" outlineLevel="0" collapsed="false">
      <c r="A13" s="7" t="s">
        <v>15</v>
      </c>
      <c r="B13" s="8" t="n">
        <v>1.15</v>
      </c>
      <c r="C13" s="9" t="s">
        <v>8</v>
      </c>
    </row>
    <row r="14" customFormat="false" ht="15" hidden="false" customHeight="true" outlineLevel="0" collapsed="false">
      <c r="A14" s="7" t="s">
        <v>16</v>
      </c>
      <c r="B14" s="11" t="n">
        <v>0.95</v>
      </c>
      <c r="C14" s="9" t="s">
        <v>8</v>
      </c>
    </row>
    <row r="15" customFormat="false" ht="15" hidden="false" customHeight="true" outlineLevel="0" collapsed="false">
      <c r="A15" s="5" t="s">
        <v>17</v>
      </c>
      <c r="B15" s="6"/>
      <c r="C15" s="6"/>
    </row>
    <row r="16" customFormat="false" ht="15" hidden="false" customHeight="true" outlineLevel="0" collapsed="false">
      <c r="A16" s="7" t="s">
        <v>18</v>
      </c>
      <c r="B16" s="12" t="n">
        <v>16500</v>
      </c>
      <c r="C16" s="9" t="s">
        <v>19</v>
      </c>
    </row>
    <row r="17" customFormat="false" ht="15" hidden="false" customHeight="true" outlineLevel="0" collapsed="false">
      <c r="A17" s="7" t="s">
        <v>20</v>
      </c>
      <c r="B17" s="12" t="n">
        <v>420</v>
      </c>
      <c r="C17" s="9" t="s">
        <v>19</v>
      </c>
    </row>
    <row r="18" customFormat="false" ht="15" hidden="false" customHeight="true" outlineLevel="0" collapsed="false">
      <c r="A18" s="7" t="s">
        <v>21</v>
      </c>
      <c r="B18" s="12" t="n">
        <v>380</v>
      </c>
      <c r="C18" s="9" t="s">
        <v>19</v>
      </c>
    </row>
    <row r="19" customFormat="false" ht="15" hidden="false" customHeight="true" outlineLevel="0" collapsed="false">
      <c r="A19" s="7" t="s">
        <v>22</v>
      </c>
      <c r="B19" s="12" t="n">
        <v>1150000</v>
      </c>
      <c r="C19" s="9" t="s">
        <v>19</v>
      </c>
    </row>
    <row r="20" customFormat="false" ht="15" hidden="false" customHeight="true" outlineLevel="0" collapsed="false">
      <c r="A20" s="7" t="s">
        <v>23</v>
      </c>
      <c r="B20" s="12" t="n">
        <v>1500000</v>
      </c>
      <c r="C20" s="9" t="s">
        <v>19</v>
      </c>
    </row>
    <row r="21" customFormat="false" ht="15" hidden="false" customHeight="true" outlineLevel="0" collapsed="false">
      <c r="A21" s="7" t="s">
        <v>24</v>
      </c>
      <c r="B21" s="12" t="n">
        <v>420000</v>
      </c>
      <c r="C21" s="9" t="s">
        <v>19</v>
      </c>
    </row>
    <row r="22" customFormat="false" ht="15" hidden="false" customHeight="true" outlineLevel="0" collapsed="false">
      <c r="A22" s="7" t="s">
        <v>25</v>
      </c>
      <c r="B22" s="12" t="n">
        <v>58000</v>
      </c>
      <c r="C22" s="9" t="s">
        <v>19</v>
      </c>
    </row>
    <row r="23" customFormat="false" ht="15" hidden="false" customHeight="true" outlineLevel="0" collapsed="false">
      <c r="A23" s="7" t="s">
        <v>26</v>
      </c>
      <c r="B23" s="12" t="n">
        <v>42000</v>
      </c>
      <c r="C23" s="9" t="s">
        <v>19</v>
      </c>
    </row>
    <row r="24" customFormat="false" ht="15" hidden="false" customHeight="true" outlineLevel="0" collapsed="false">
      <c r="A24" s="5" t="s">
        <v>27</v>
      </c>
      <c r="B24" s="6"/>
      <c r="C24" s="6"/>
    </row>
    <row r="25" customFormat="false" ht="15" hidden="false" customHeight="true" outlineLevel="0" collapsed="false">
      <c r="A25" s="7" t="s">
        <v>28</v>
      </c>
      <c r="B25" s="12" t="n">
        <v>52</v>
      </c>
      <c r="C25" s="9" t="s">
        <v>29</v>
      </c>
    </row>
    <row r="26" customFormat="false" ht="15" hidden="false" customHeight="true" outlineLevel="0" collapsed="false">
      <c r="A26" s="7" t="s">
        <v>30</v>
      </c>
      <c r="B26" s="8" t="n">
        <v>420000</v>
      </c>
      <c r="C26" s="9" t="s">
        <v>31</v>
      </c>
    </row>
    <row r="27" customFormat="false" ht="15" hidden="false" customHeight="true" outlineLevel="0" collapsed="false">
      <c r="A27" s="7" t="s">
        <v>32</v>
      </c>
      <c r="B27" s="10" t="n">
        <v>0.035</v>
      </c>
      <c r="C27" s="9" t="s">
        <v>33</v>
      </c>
    </row>
    <row r="28" customFormat="false" ht="15" hidden="false" customHeight="true" outlineLevel="0" collapsed="false">
      <c r="A28" s="7" t="s">
        <v>34</v>
      </c>
      <c r="B28" s="8" t="n">
        <v>5375029</v>
      </c>
      <c r="C28" s="9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5.75" hidden="false" customHeight="true" outlineLevel="0" collapsed="false">
      <c r="A1" s="13" t="s">
        <v>36</v>
      </c>
    </row>
    <row r="3" customFormat="false" ht="15" hidden="false" customHeight="true" outlineLevel="0" collapsed="false">
      <c r="A3" s="14" t="s">
        <v>37</v>
      </c>
      <c r="B3" s="14" t="s">
        <v>38</v>
      </c>
      <c r="C3" s="14" t="s">
        <v>39</v>
      </c>
      <c r="D3" s="14" t="s">
        <v>40</v>
      </c>
      <c r="E3" s="14" t="s">
        <v>41</v>
      </c>
    </row>
    <row r="4" customFormat="false" ht="15" hidden="false" customHeight="true" outlineLevel="0" collapsed="false">
      <c r="A4" s="7" t="s">
        <v>42</v>
      </c>
      <c r="B4" s="15" t="n">
        <f aca="false">Assumptions!B6</f>
        <v>3.1</v>
      </c>
      <c r="C4" s="7" t="s">
        <v>43</v>
      </c>
      <c r="D4" s="16" t="n">
        <f aca="false">Assumptions!B16*Assumptions!B25</f>
        <v>858000</v>
      </c>
      <c r="E4" s="17" t="n">
        <f aca="false">B4*D4</f>
        <v>2659800</v>
      </c>
    </row>
    <row r="5" customFormat="false" ht="15" hidden="false" customHeight="true" outlineLevel="0" collapsed="false">
      <c r="A5" s="7" t="s">
        <v>44</v>
      </c>
      <c r="B5" s="15" t="n">
        <f aca="false">Assumptions!B7</f>
        <v>6.2</v>
      </c>
      <c r="C5" s="7" t="s">
        <v>43</v>
      </c>
      <c r="D5" s="16" t="n">
        <f aca="false">Assumptions!B17*Assumptions!B25</f>
        <v>21840</v>
      </c>
      <c r="E5" s="17" t="n">
        <f aca="false">B5*D5</f>
        <v>135408</v>
      </c>
    </row>
    <row r="6" customFormat="false" ht="15" hidden="false" customHeight="true" outlineLevel="0" collapsed="false">
      <c r="A6" s="7" t="s">
        <v>45</v>
      </c>
      <c r="B6" s="15" t="n">
        <f aca="false">Assumptions!B8</f>
        <v>5.4</v>
      </c>
      <c r="C6" s="7" t="s">
        <v>43</v>
      </c>
      <c r="D6" s="16" t="n">
        <f aca="false">Assumptions!B18*Assumptions!B25</f>
        <v>19760</v>
      </c>
      <c r="E6" s="17" t="n">
        <f aca="false">B6*D6</f>
        <v>106704</v>
      </c>
    </row>
    <row r="7" customFormat="false" ht="15" hidden="false" customHeight="true" outlineLevel="0" collapsed="false">
      <c r="A7" s="7" t="s">
        <v>46</v>
      </c>
      <c r="B7" s="15" t="n">
        <f aca="false">Assumptions!B10</f>
        <v>0.42</v>
      </c>
      <c r="C7" s="7" t="s">
        <v>47</v>
      </c>
      <c r="D7" s="16" t="n">
        <f aca="false">Assumptions!B19</f>
        <v>1150000</v>
      </c>
      <c r="E7" s="17" t="n">
        <f aca="false">B7*D7</f>
        <v>483000</v>
      </c>
    </row>
    <row r="8" customFormat="false" ht="15" hidden="false" customHeight="true" outlineLevel="0" collapsed="false">
      <c r="A8" s="7" t="s">
        <v>48</v>
      </c>
      <c r="B8" s="15" t="n">
        <f aca="false">Assumptions!B11</f>
        <v>0.06</v>
      </c>
      <c r="C8" s="7" t="s">
        <v>49</v>
      </c>
      <c r="D8" s="16" t="n">
        <f aca="false">Assumptions!B20</f>
        <v>1500000</v>
      </c>
      <c r="E8" s="17" t="n">
        <f aca="false">B8*D8</f>
        <v>90000</v>
      </c>
    </row>
    <row r="9" customFormat="false" ht="15" hidden="false" customHeight="true" outlineLevel="0" collapsed="false">
      <c r="A9" s="7" t="s">
        <v>50</v>
      </c>
      <c r="B9" s="15" t="n">
        <f aca="false">Assumptions!B12</f>
        <v>0.78</v>
      </c>
      <c r="C9" s="7" t="s">
        <v>51</v>
      </c>
      <c r="D9" s="16" t="n">
        <f aca="false">Assumptions!B21</f>
        <v>420000</v>
      </c>
      <c r="E9" s="17" t="n">
        <f aca="false">B9*D9</f>
        <v>327600</v>
      </c>
    </row>
    <row r="10" customFormat="false" ht="15" hidden="false" customHeight="true" outlineLevel="0" collapsed="false">
      <c r="A10" s="7" t="s">
        <v>52</v>
      </c>
      <c r="B10" s="15" t="n">
        <f aca="false">Assumptions!B13</f>
        <v>1.15</v>
      </c>
      <c r="C10" s="7" t="s">
        <v>53</v>
      </c>
      <c r="D10" s="16" t="n">
        <f aca="false">Assumptions!B22</f>
        <v>58000</v>
      </c>
      <c r="E10" s="17" t="n">
        <f aca="false">B10*D10</f>
        <v>66700</v>
      </c>
    </row>
    <row r="11" customFormat="false" ht="15" hidden="false" customHeight="true" outlineLevel="0" collapsed="false">
      <c r="A11" s="7" t="s">
        <v>54</v>
      </c>
      <c r="B11" s="15" t="n">
        <f aca="false">Assumptions!B14</f>
        <v>0.95</v>
      </c>
      <c r="C11" s="7" t="s">
        <v>49</v>
      </c>
      <c r="D11" s="16" t="n">
        <f aca="false">Assumptions!B23</f>
        <v>42000</v>
      </c>
      <c r="E11" s="17" t="n">
        <f aca="false">B11*D11</f>
        <v>39900</v>
      </c>
    </row>
    <row r="12" customFormat="false" ht="15" hidden="false" customHeight="true" outlineLevel="0" collapsed="false">
      <c r="A12" s="18" t="s">
        <v>55</v>
      </c>
      <c r="B12" s="19"/>
      <c r="C12" s="19"/>
      <c r="D12" s="19"/>
      <c r="E12" s="20" t="n">
        <f aca="false">SUM(E4:E11)</f>
        <v>3909112</v>
      </c>
    </row>
    <row r="14" customFormat="false" ht="15" hidden="false" customHeight="true" outlineLevel="0" collapsed="false">
      <c r="A14" s="7" t="s">
        <v>56</v>
      </c>
      <c r="B14" s="19"/>
      <c r="C14" s="19"/>
      <c r="D14" s="19"/>
      <c r="E14" s="17" t="n">
        <f aca="false">Assumptions!B26</f>
        <v>420000</v>
      </c>
    </row>
    <row r="15" customFormat="false" ht="15" hidden="false" customHeight="true" outlineLevel="0" collapsed="false">
      <c r="A15" s="7" t="s">
        <v>57</v>
      </c>
      <c r="B15" s="19"/>
      <c r="C15" s="19"/>
      <c r="D15" s="19"/>
      <c r="E15" s="17" t="n">
        <f aca="false">E12*1.375</f>
        <v>5375029</v>
      </c>
    </row>
    <row r="16" customFormat="false" ht="15" hidden="false" customHeight="true" outlineLevel="0" collapsed="false">
      <c r="A16" s="9" t="s">
        <v>58</v>
      </c>
      <c r="E16" s="9" t="str">
        <f aca="false">IF(ABS(E15-5375000)&lt;1500,"OK","CHECK")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5" min="2" style="1" width="16"/>
  </cols>
  <sheetData>
    <row r="1" customFormat="false" ht="15.75" hidden="false" customHeight="true" outlineLevel="0" collapsed="false">
      <c r="A1" s="13" t="s">
        <v>59</v>
      </c>
    </row>
    <row r="3" customFormat="false" ht="15" hidden="false" customHeight="true" outlineLevel="0" collapsed="false">
      <c r="A3" s="4" t="s">
        <v>60</v>
      </c>
      <c r="B3" s="4" t="s">
        <v>61</v>
      </c>
      <c r="C3" s="4" t="s">
        <v>62</v>
      </c>
      <c r="D3" s="4" t="s">
        <v>63</v>
      </c>
      <c r="E3" s="4" t="s">
        <v>64</v>
      </c>
    </row>
    <row r="4" customFormat="false" ht="15" hidden="false" customHeight="true" outlineLevel="0" collapsed="false">
      <c r="A4" s="19" t="s">
        <v>65</v>
      </c>
      <c r="B4" s="7" t="s">
        <v>66</v>
      </c>
      <c r="C4" s="21" t="n">
        <f aca="false">Assumptions!B27</f>
        <v>0.035</v>
      </c>
      <c r="D4" s="21" t="n">
        <f aca="false">Assumptions!B27</f>
        <v>0.035</v>
      </c>
      <c r="E4" s="21" t="n">
        <f aca="false">Assumptions!B27</f>
        <v>0.035</v>
      </c>
    </row>
    <row r="5" customFormat="false" ht="15" hidden="false" customHeight="true" outlineLevel="0" collapsed="false">
      <c r="A5" s="19" t="s">
        <v>67</v>
      </c>
      <c r="B5" s="22" t="n">
        <f aca="false">Annual_Charges!E12</f>
        <v>3909112</v>
      </c>
      <c r="C5" s="22" t="n">
        <f aca="false">B5*(1+C4)</f>
        <v>4045930.92</v>
      </c>
      <c r="D5" s="22" t="n">
        <f aca="false">C5*(1+D4)</f>
        <v>4187538.5022</v>
      </c>
      <c r="E5" s="22" t="n">
        <f aca="false">D5*(1+E4)</f>
        <v>4334102.349777</v>
      </c>
    </row>
    <row r="6" customFormat="false" ht="15" hidden="false" customHeight="true" outlineLevel="0" collapsed="false">
      <c r="A6" s="19" t="s">
        <v>68</v>
      </c>
      <c r="B6" s="22" t="n">
        <f aca="false">B5</f>
        <v>3909112</v>
      </c>
      <c r="C6" s="22" t="n">
        <f aca="false">B6+C5</f>
        <v>7955042.92</v>
      </c>
      <c r="D6" s="22" t="n">
        <f aca="false">C6+D5</f>
        <v>12142581.4222</v>
      </c>
      <c r="E6" s="22" t="n">
        <f aca="false">D6+E5</f>
        <v>16476683.771977</v>
      </c>
    </row>
    <row r="8" customFormat="false" ht="15" hidden="false" customHeight="true" outlineLevel="0" collapsed="false">
      <c r="A8" s="23" t="s">
        <v>69</v>
      </c>
      <c r="B8" s="24" t="n">
        <f aca="false">SUM(B5:E5)</f>
        <v>16476683.771977</v>
      </c>
    </row>
    <row r="9" customFormat="false" ht="15" hidden="false" customHeight="true" outlineLevel="0" collapsed="false">
      <c r="A9" s="1" t="s">
        <v>70</v>
      </c>
      <c r="B9" s="25" t="n">
        <f aca="false">Annual_Charges!E14</f>
        <v>420000</v>
      </c>
    </row>
    <row r="10" customFormat="false" ht="15" hidden="false" customHeight="true" outlineLevel="0" collapsed="false">
      <c r="A10" s="23" t="s">
        <v>71</v>
      </c>
      <c r="B10" s="24" t="n">
        <f aca="false">B8+B9</f>
        <v>16896683.771977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2026-06-26T10:11:36Z</dcterms:created>
  <dc:creator>openpyxl</dc:creator>
  <dc:description/>
  <dc:language>en-US</dc:language>
  <cp:lastModifiedBy/>
  <dcterms:modified xsi:type="dcterms:W3CDTF">2026-06-26T10:12:27Z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