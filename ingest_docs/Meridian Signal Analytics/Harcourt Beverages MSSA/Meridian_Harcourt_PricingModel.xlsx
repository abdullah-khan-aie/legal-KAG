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s Model" sheetId="1" state="visible" r:id="rId3"/>
    <sheet name="Service Cred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<sst xmlns="http://schemas.openxmlformats.org/spreadsheetml/2006/main" count="35" uniqueCount="35">
  <si>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Meridian Signal Analytics – Harcourt Beverages MSSA: Fees &amp; Subscription Model</t>
  </si>
  <si>
    <t xml:space="preserve">Our ref: WC-00191  ·  Tier 3 subscription  ·  prepared 24 October 2025</t>
  </si>
  <si>
    <t xml:space="preserve">Key assumptions (blue = input)</t>
  </si>
  <si>
    <t xml:space="preserve">Annual subscription fee (Tier 3)</t>
  </si>
  <si>
    <t xml:space="preserve">Implementation &amp; integration fee (one-off)</t>
  </si>
  <si>
    <t xml:space="preserve">Annual RPI uplift cap (from year 2)</t>
  </si>
  <si>
    <t xml:space="preserve">Assumed RPI uplift applied (yrs 2-3)</t>
  </si>
  <si>
    <t xml:space="preserve">Payment terms (days)</t>
  </si>
  <si>
    <t xml:space="preserve">Initial term (years)</t>
  </si>
  <si>
    <t xml:space="preserve">VAT rate</t>
  </si>
  <si>
    <t xml:space="preserve">Subscription schedule over initial term</t>
  </si>
  <si>
    <t xml:space="preserve">Contract year</t>
  </si>
  <si>
    <t xml:space="preserve">Subscription (ex VAT)</t>
  </si>
  <si>
    <t xml:space="preserve">Implementation</t>
  </si>
  <si>
    <t xml:space="preserve">Total ex VAT</t>
  </si>
  <si>
    <t xml:space="preserve">VAT</t>
  </si>
  <si>
    <t xml:space="preserve">Total inc VAT</t>
  </si>
  <si>
    <t xml:space="preserve">Year 1 (2026)</t>
  </si>
  <si>
    <t xml:space="preserve">Year 2 (2027)</t>
  </si>
  <si>
    <t xml:space="preserve">Year 3 (2028)</t>
  </si>
  <si>
    <t xml:space="preserve">Total over initial term</t>
  </si>
  <si>
    <t xml:space="preserve">Liability caps (executed terms)</t>
  </si>
  <si>
    <t xml:space="preserve">General cap = 150% of trailing 12-month fees</t>
  </si>
  <si>
    <t xml:space="preserve">Data-protection super-cap = 300% of annual subscription fee</t>
  </si>
  <si>
    <t xml:space="preserve">Note: super-cap of £2,520,000 is the agreed ceiling (clause 9.4 of the executed MSSA).</t>
  </si>
  <si>
    <t xml:space="preserve">SLA service-credit ready-reckoner (monthly subscription basis)</t>
  </si>
  <si>
    <t xml:space="preserve">Monthly subscription fee (=annual/12)</t>
  </si>
  <si>
    <t xml:space="preserve">Monthly availability band</t>
  </si>
  <si>
    <t xml:space="preserve">Credit %</t>
  </si>
  <si>
    <t xml:space="preserve">Credit £</t>
  </si>
  <si>
    <t xml:space="preserve">99.9% – 99.5%</t>
  </si>
  <si>
    <t xml:space="preserve">99.49% – 99.0%</t>
  </si>
  <si>
    <t xml:space="preserve">98.99% – 98.0%</t>
  </si>
  <si>
    <t xml:space="preserve">Below 98.0% (max)</t>
  </si>
  <si>
    <t xml:space="preserve">Max aggregate monthly credit capped at 30% of that month's subscription fee.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</si>
</sst>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0.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840000</v>
      </c>
    </row>
    <row r="6" customFormat="false" ht="15" hidden="false" customHeight="false" outlineLevel="0" collapsed="false">
      <c r="A6" s="4" t="s">
        <v>4</v>
      </c>
      <c r="B6" s="5" t="n">
        <v>120000</v>
      </c>
    </row>
    <row r="7" customFormat="false" ht="15" hidden="false" customHeight="false" outlineLevel="0" collapsed="false">
      <c r="A7" s="4" t="s">
        <v>5</v>
      </c>
      <c r="B7" s="6" t="n">
        <v>0.04</v>
      </c>
    </row>
    <row r="8" customFormat="false" ht="15" hidden="false" customHeight="false" outlineLevel="0" collapsed="false">
      <c r="A8" s="4" t="s">
        <v>6</v>
      </c>
      <c r="B8" s="6" t="n">
        <v>0.035</v>
      </c>
    </row>
    <row r="9" customFormat="false" ht="15" hidden="false" customHeight="false" outlineLevel="0" collapsed="false">
      <c r="A9" s="4" t="s">
        <v>7</v>
      </c>
      <c r="B9" s="7" t="n">
        <v>45</v>
      </c>
    </row>
    <row r="10" customFormat="false" ht="15" hidden="false" customHeight="false" outlineLevel="0" collapsed="false">
      <c r="A10" s="4" t="s">
        <v>8</v>
      </c>
      <c r="B10" s="7" t="n">
        <v>3</v>
      </c>
    </row>
    <row r="11" customFormat="false" ht="15" hidden="false" customHeight="false" outlineLevel="0" collapsed="false">
      <c r="A11" s="4" t="s">
        <v>9</v>
      </c>
      <c r="B11" s="6" t="n">
        <v>0.2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8" t="s">
        <v>11</v>
      </c>
      <c r="B15" s="8" t="s">
        <v>12</v>
      </c>
      <c r="C15" s="8" t="s">
        <v>13</v>
      </c>
      <c r="D15" s="8" t="s">
        <v>14</v>
      </c>
      <c r="E15" s="8" t="s">
        <v>15</v>
      </c>
      <c r="F15" s="8" t="s">
        <v>16</v>
      </c>
    </row>
    <row r="16" customFormat="false" ht="15" hidden="false" customHeight="false" outlineLevel="0" collapsed="false">
      <c r="A16" s="9" t="s">
        <v>17</v>
      </c>
      <c r="B16" s="10" t="n">
        <f aca="false">B5</f>
        <v>840000</v>
      </c>
      <c r="C16" s="10" t="n">
        <f aca="false">B6</f>
        <v>120000</v>
      </c>
      <c r="D16" s="10" t="n">
        <f aca="false">B16+C16</f>
        <v>960000</v>
      </c>
      <c r="E16" s="10" t="n">
        <f aca="false">D16*B11</f>
        <v>192000</v>
      </c>
      <c r="F16" s="10" t="n">
        <f aca="false">D16+E16</f>
        <v>1152000</v>
      </c>
    </row>
    <row r="17" customFormat="false" ht="15" hidden="false" customHeight="false" outlineLevel="0" collapsed="false">
      <c r="A17" s="9" t="s">
        <v>18</v>
      </c>
      <c r="B17" s="10" t="n">
        <f aca="false">B16*(1+B8)</f>
        <v>869400</v>
      </c>
      <c r="C17" s="10" t="n">
        <v>0</v>
      </c>
      <c r="D17" s="10" t="n">
        <f aca="false">B17+C17</f>
        <v>869400</v>
      </c>
      <c r="E17" s="10" t="n">
        <f aca="false">D17*B11</f>
        <v>173880</v>
      </c>
      <c r="F17" s="10" t="n">
        <f aca="false">D17+E17</f>
        <v>1043280</v>
      </c>
    </row>
    <row r="18" customFormat="false" ht="15" hidden="false" customHeight="false" outlineLevel="0" collapsed="false">
      <c r="A18" s="9" t="s">
        <v>19</v>
      </c>
      <c r="B18" s="10" t="n">
        <f aca="false">B17*(1+B8)</f>
        <v>899829</v>
      </c>
      <c r="C18" s="10" t="n">
        <v>0</v>
      </c>
      <c r="D18" s="10" t="n">
        <f aca="false">B18+C18</f>
        <v>899829</v>
      </c>
      <c r="E18" s="10" t="n">
        <f aca="false">D18*B11</f>
        <v>179965.8</v>
      </c>
      <c r="F18" s="10" t="n">
        <f aca="false">D18+E18</f>
        <v>1079794.8</v>
      </c>
    </row>
    <row r="19" customFormat="false" ht="15" hidden="false" customHeight="false" outlineLevel="0" collapsed="false">
      <c r="A19" s="11" t="s">
        <v>20</v>
      </c>
      <c r="B19" s="12" t="n">
        <f aca="false">SUM(B16:B18)</f>
        <v>2609229</v>
      </c>
      <c r="C19" s="12" t="n">
        <f aca="false">SUM(C16:C18)</f>
        <v>120000</v>
      </c>
      <c r="D19" s="12" t="n">
        <f aca="false">SUM(D16:D18)</f>
        <v>2729229</v>
      </c>
      <c r="E19" s="12" t="n">
        <f aca="false">SUM(E16:E18)</f>
        <v>545845.8</v>
      </c>
      <c r="F19" s="12" t="n">
        <f aca="false">SUM(F16:F18)</f>
        <v>3275074.8</v>
      </c>
    </row>
    <row r="22" customFormat="false" ht="15" hidden="false" customHeight="false" outlineLevel="0" collapsed="false">
      <c r="A22" s="3" t="s">
        <v>21</v>
      </c>
    </row>
    <row r="23" customFormat="false" ht="15" hidden="false" customHeight="false" outlineLevel="0" collapsed="false">
      <c r="A23" s="4" t="s">
        <v>22</v>
      </c>
      <c r="B23" s="13" t="n">
        <f aca="false">B5*1.5</f>
        <v>1260000</v>
      </c>
    </row>
    <row r="24" customFormat="false" ht="15" hidden="false" customHeight="false" outlineLevel="0" collapsed="false">
      <c r="A24" s="4" t="s">
        <v>23</v>
      </c>
      <c r="B24" s="13" t="n">
        <f aca="false">B5*3</f>
        <v>2520000</v>
      </c>
    </row>
    <row r="25" customFormat="false" ht="15" hidden="false" customHeight="false" outlineLevel="0" collapsed="false">
      <c r="A2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4" t="s">
        <v>25</v>
      </c>
    </row>
    <row r="3" customFormat="false" ht="15" hidden="false" customHeight="false" outlineLevel="0" collapsed="false">
      <c r="A3" s="4" t="s">
        <v>26</v>
      </c>
      <c r="B3" s="13" t="n">
        <f aca="false">'Fees Model'!B5/12</f>
        <v>70000</v>
      </c>
    </row>
    <row r="5" customFormat="false" ht="15" hidden="false" customHeight="false" outlineLevel="0" collapsed="false">
      <c r="A5" s="8" t="s">
        <v>27</v>
      </c>
      <c r="B5" s="8" t="s">
        <v>28</v>
      </c>
      <c r="C5" s="8" t="s">
        <v>29</v>
      </c>
    </row>
    <row r="6" customFormat="false" ht="15" hidden="false" customHeight="false" outlineLevel="0" collapsed="false">
      <c r="A6" s="9" t="s">
        <v>30</v>
      </c>
      <c r="B6" s="15" t="n">
        <v>0.05</v>
      </c>
      <c r="C6" s="10" t="n">
        <f aca="false">$B$3*B6</f>
        <v>3500</v>
      </c>
    </row>
    <row r="7" customFormat="false" ht="15" hidden="false" customHeight="false" outlineLevel="0" collapsed="false">
      <c r="A7" s="9" t="s">
        <v>31</v>
      </c>
      <c r="B7" s="15" t="n">
        <v>0.1</v>
      </c>
      <c r="C7" s="10" t="n">
        <f aca="false">$B$3*B7</f>
        <v>7000</v>
      </c>
    </row>
    <row r="8" customFormat="false" ht="15" hidden="false" customHeight="false" outlineLevel="0" collapsed="false">
      <c r="A8" s="9" t="s">
        <v>32</v>
      </c>
      <c r="B8" s="15" t="n">
        <v>0.2</v>
      </c>
      <c r="C8" s="10" t="n">
        <f aca="false">$B$3*B8</f>
        <v>14000</v>
      </c>
    </row>
    <row r="9" customFormat="false" ht="15" hidden="false" customHeight="false" outlineLevel="0" collapsed="false">
      <c r="A9" s="9" t="s">
        <v>33</v>
      </c>
      <c r="B9" s="15" t="n">
        <v>0.3</v>
      </c>
      <c r="C9" s="10" t="n">
        <f aca="false">$B$3*B9</f>
        <v>21000</v>
      </c>
    </row>
    <row r="11" customFormat="false" ht="15" hidden="false" customHeight="false" outlineLevel="0" collapsed="false">
      <c r="A11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2026-06-30T11:19:18Z</dcterms:created>
  <dc:creator>openpyxl</dc:creator>
  <dc:description/>
  <dc:language>en-US</dc:language>
  <cp:lastModifiedBy/>
  <dcterms:modified xsi:type="dcterms:W3CDTF">2026-06-30T11:19:18Z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