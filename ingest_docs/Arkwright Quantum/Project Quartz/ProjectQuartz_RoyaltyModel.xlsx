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yalty Model" sheetId="1" state="visible" r:id="rId1"/>
    <sheet xmlns:r="http://schemas.openxmlformats.org/officeDocument/2006/relationships" name="Key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FFFFFF"/>
      <sz val="11"/>
    </font>
    <font>
      <i val="1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3" fillId="3" borderId="0" pivotButton="0" quotePrefix="0" xfId="0"/>
    <xf numFmtId="164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Project Quartz - QX-Clock Licence: Royalty &amp; Payment Model</t>
        </is>
      </c>
    </row>
    <row r="2">
      <c r="A2" s="2" t="inlineStr">
        <is>
          <t>Arkwright Quantum Limited (Licensor) / Caldera Defence Systems Limited (Licensee)</t>
        </is>
      </c>
    </row>
    <row r="3">
      <c r="A3" t="inlineStr">
        <is>
          <t>All figures in GBP. Effective Date 22 January 2026. Royalty 6.5% of Net Sales, stepping to 4.0% above 80,000,000 cumulative Net Sales.</t>
        </is>
      </c>
    </row>
    <row r="5">
      <c r="A5" s="3" t="inlineStr">
        <is>
          <t>Fixed payments</t>
        </is>
      </c>
    </row>
    <row r="6">
      <c r="A6" s="4" t="inlineStr">
        <is>
          <t>Item</t>
        </is>
      </c>
      <c r="B6" s="4" t="inlineStr">
        <is>
          <t>Trigger</t>
        </is>
      </c>
      <c r="C6" s="4" t="inlineStr">
        <is>
          <t>Amount (GBP)</t>
        </is>
      </c>
    </row>
    <row r="7">
      <c r="A7" s="5" t="inlineStr">
        <is>
          <t>Upfront licence fee</t>
        </is>
      </c>
      <c r="B7" s="5" t="inlineStr">
        <is>
          <t>Within 5 BD of Effective Date</t>
        </is>
      </c>
      <c r="C7" s="6" t="n">
        <v>4500000</v>
      </c>
    </row>
    <row r="8">
      <c r="A8" s="5" t="inlineStr">
        <is>
          <t>Milestone 1 - TRL-7 qualification</t>
        </is>
      </c>
      <c r="B8" s="5" t="inlineStr">
        <is>
          <t>Qualification certificate</t>
        </is>
      </c>
      <c r="C8" s="6" t="n">
        <v>2000000</v>
      </c>
    </row>
    <row r="9">
      <c r="A9" s="5" t="inlineStr">
        <is>
          <t>Milestone 2 - first production order</t>
        </is>
      </c>
      <c r="B9" s="5" t="inlineStr">
        <is>
          <t>First production PO</t>
        </is>
      </c>
      <c r="C9" s="6" t="n">
        <v>3500000</v>
      </c>
    </row>
    <row r="10">
      <c r="A10" s="3" t="inlineStr">
        <is>
          <t>Total fixed (upfront + milestones)</t>
        </is>
      </c>
      <c r="C10" s="7">
        <f>SUM(C7:C9)</f>
        <v/>
      </c>
    </row>
    <row r="12">
      <c r="A12" s="3" t="inlineStr">
        <is>
          <t>Illustrative royalty projection (Years 1-8)</t>
        </is>
      </c>
    </row>
    <row r="13">
      <c r="A13" s="4" t="inlineStr">
        <is>
          <t>Year</t>
        </is>
      </c>
      <c r="B13" s="4" t="inlineStr">
        <is>
          <t>Forecast Net Sales</t>
        </is>
      </c>
      <c r="C13" s="4" t="inlineStr">
        <is>
          <t>Cumulative Net Sales</t>
        </is>
      </c>
      <c r="D13" s="4" t="inlineStr">
        <is>
          <t>Applicable rate</t>
        </is>
      </c>
      <c r="E13" s="4" t="inlineStr">
        <is>
          <t>Royalty (gross)</t>
        </is>
      </c>
      <c r="F13" s="4" t="inlineStr">
        <is>
          <t>Min. annual royalty</t>
        </is>
      </c>
      <c r="G13" s="4" t="inlineStr">
        <is>
          <t>Royalty payable</t>
        </is>
      </c>
    </row>
    <row r="14">
      <c r="A14" s="5" t="inlineStr">
        <is>
          <t>Year 1</t>
        </is>
      </c>
      <c r="B14" s="6" t="n">
        <v>0</v>
      </c>
      <c r="C14" s="6">
        <f>B14</f>
        <v/>
      </c>
      <c r="D14" s="8">
        <f>IF(C14&gt;80000000,0.04,0.065)</f>
        <v/>
      </c>
      <c r="E14" s="6">
        <f>B14*D14</f>
        <v/>
      </c>
      <c r="F14" s="6" t="n">
        <v>0</v>
      </c>
      <c r="G14" s="6">
        <f>MAX(E14,F14)</f>
        <v/>
      </c>
    </row>
    <row r="15">
      <c r="A15" s="5" t="inlineStr">
        <is>
          <t>Year 2</t>
        </is>
      </c>
      <c r="B15" s="6" t="n">
        <v>2000000</v>
      </c>
      <c r="C15" s="6">
        <f>C14+B15</f>
        <v/>
      </c>
      <c r="D15" s="8">
        <f>IF(C15&gt;80000000,0.04,0.065)</f>
        <v/>
      </c>
      <c r="E15" s="6">
        <f>B15*D15</f>
        <v/>
      </c>
      <c r="F15" s="6" t="n">
        <v>0</v>
      </c>
      <c r="G15" s="6">
        <f>MAX(E15,F15)</f>
        <v/>
      </c>
    </row>
    <row r="16">
      <c r="A16" s="5" t="inlineStr">
        <is>
          <t>Year 3</t>
        </is>
      </c>
      <c r="B16" s="6" t="n">
        <v>8000000</v>
      </c>
      <c r="C16" s="6">
        <f>C15+B16</f>
        <v/>
      </c>
      <c r="D16" s="8">
        <f>IF(C16&gt;80000000,0.04,0.065)</f>
        <v/>
      </c>
      <c r="E16" s="6">
        <f>B16*D16</f>
        <v/>
      </c>
      <c r="F16" s="6" t="n">
        <v>750000</v>
      </c>
      <c r="G16" s="6">
        <f>MAX(E16,F16)</f>
        <v/>
      </c>
    </row>
    <row r="17">
      <c r="A17" s="5" t="inlineStr">
        <is>
          <t>Year 4</t>
        </is>
      </c>
      <c r="B17" s="6" t="n">
        <v>18000000</v>
      </c>
      <c r="C17" s="6">
        <f>C16+B17</f>
        <v/>
      </c>
      <c r="D17" s="8">
        <f>IF(C17&gt;80000000,0.04,0.065)</f>
        <v/>
      </c>
      <c r="E17" s="6">
        <f>B17*D17</f>
        <v/>
      </c>
      <c r="F17" s="6" t="n">
        <v>750000</v>
      </c>
      <c r="G17" s="6">
        <f>MAX(E17,F17)</f>
        <v/>
      </c>
    </row>
    <row r="18">
      <c r="A18" s="5" t="inlineStr">
        <is>
          <t>Year 5</t>
        </is>
      </c>
      <c r="B18" s="6" t="n">
        <v>30000000</v>
      </c>
      <c r="C18" s="6">
        <f>C17+B18</f>
        <v/>
      </c>
      <c r="D18" s="8">
        <f>IF(C18&gt;80000000,0.04,0.065)</f>
        <v/>
      </c>
      <c r="E18" s="6">
        <f>B18*D18</f>
        <v/>
      </c>
      <c r="F18" s="6" t="n">
        <v>750000</v>
      </c>
      <c r="G18" s="6">
        <f>MAX(E18,F18)</f>
        <v/>
      </c>
    </row>
    <row r="19">
      <c r="A19" s="5" t="inlineStr">
        <is>
          <t>Year 6</t>
        </is>
      </c>
      <c r="B19" s="6" t="n">
        <v>42000000</v>
      </c>
      <c r="C19" s="6">
        <f>C18+B19</f>
        <v/>
      </c>
      <c r="D19" s="8">
        <f>IF(C19&gt;80000000,0.04,0.065)</f>
        <v/>
      </c>
      <c r="E19" s="6">
        <f>B19*D19</f>
        <v/>
      </c>
      <c r="F19" s="6" t="n">
        <v>750000</v>
      </c>
      <c r="G19" s="6">
        <f>MAX(E19,F19)</f>
        <v/>
      </c>
    </row>
    <row r="20">
      <c r="A20" s="5" t="inlineStr">
        <is>
          <t>Year 7</t>
        </is>
      </c>
      <c r="B20" s="6" t="n">
        <v>55000000</v>
      </c>
      <c r="C20" s="6">
        <f>C19+B20</f>
        <v/>
      </c>
      <c r="D20" s="8">
        <f>IF(C20&gt;80000000,0.04,0.065)</f>
        <v/>
      </c>
      <c r="E20" s="6">
        <f>B20*D20</f>
        <v/>
      </c>
      <c r="F20" s="6" t="n">
        <v>750000</v>
      </c>
      <c r="G20" s="6">
        <f>MAX(E20,F20)</f>
        <v/>
      </c>
    </row>
    <row r="21">
      <c r="A21" s="5" t="inlineStr">
        <is>
          <t>Year 8</t>
        </is>
      </c>
      <c r="B21" s="6" t="n">
        <v>68000000</v>
      </c>
      <c r="C21" s="6">
        <f>C20+B21</f>
        <v/>
      </c>
      <c r="D21" s="8">
        <f>IF(C21&gt;80000000,0.04,0.065)</f>
        <v/>
      </c>
      <c r="E21" s="6">
        <f>B21*D21</f>
        <v/>
      </c>
      <c r="F21" s="6" t="n">
        <v>750000</v>
      </c>
      <c r="G21" s="6">
        <f>MAX(E21,F21)</f>
        <v/>
      </c>
    </row>
    <row r="22">
      <c r="A22" s="3" t="inlineStr">
        <is>
          <t>Total</t>
        </is>
      </c>
      <c r="B22" s="7">
        <f>SUM(B14:B21)</f>
        <v/>
      </c>
      <c r="E22" s="7">
        <f>SUM(E14:E21)</f>
        <v/>
      </c>
      <c r="G22" s="7">
        <f>SUM(G14:G21)</f>
        <v/>
      </c>
    </row>
    <row r="24">
      <c r="A24" s="9" t="inlineStr">
        <is>
          <t>Note: projection is illustrative only and does not vary the contractual terms. Stepped rate applies from the Quarter after cumulative Net Sales first exceed 80,000,000.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0" t="inlineStr">
        <is>
          <t>Term</t>
        </is>
      </c>
      <c r="B1" s="10" t="inlineStr">
        <is>
          <t>Value</t>
        </is>
      </c>
    </row>
    <row r="2">
      <c r="A2" s="11" t="inlineStr">
        <is>
          <t>Licensor</t>
        </is>
      </c>
      <c r="B2" s="5" t="inlineStr">
        <is>
          <t>Arkwright Quantum Limited</t>
        </is>
      </c>
    </row>
    <row r="3">
      <c r="A3" s="11" t="inlineStr">
        <is>
          <t>Licensee</t>
        </is>
      </c>
      <c r="B3" s="5" t="inlineStr">
        <is>
          <t>Caldera Defence Systems Limited</t>
        </is>
      </c>
    </row>
    <row r="4">
      <c r="A4" s="11" t="inlineStr">
        <is>
          <t>Effective Date</t>
        </is>
      </c>
      <c r="B4" s="5" t="inlineStr">
        <is>
          <t>22 January 2026</t>
        </is>
      </c>
    </row>
    <row r="5">
      <c r="A5" s="11" t="inlineStr">
        <is>
          <t>Term length</t>
        </is>
      </c>
      <c r="B5" s="5" t="inlineStr">
        <is>
          <t>12 years</t>
        </is>
      </c>
    </row>
    <row r="6">
      <c r="A6" s="11" t="inlineStr">
        <is>
          <t>Upfront fee</t>
        </is>
      </c>
      <c r="B6" s="6" t="n">
        <v>4500000</v>
      </c>
    </row>
    <row r="7">
      <c r="A7" s="11" t="inlineStr">
        <is>
          <t>Milestone 1 (TRL-7)</t>
        </is>
      </c>
      <c r="B7" s="6" t="n">
        <v>2000000</v>
      </c>
    </row>
    <row r="8">
      <c r="A8" s="11" t="inlineStr">
        <is>
          <t>Milestone 2 (production)</t>
        </is>
      </c>
      <c r="B8" s="6" t="n">
        <v>3500000</v>
      </c>
    </row>
    <row r="9">
      <c r="A9" s="11" t="inlineStr">
        <is>
          <t>Total milestones</t>
        </is>
      </c>
      <c r="B9" s="6" t="n">
        <v>5500000</v>
      </c>
    </row>
    <row r="10">
      <c r="A10" s="11" t="inlineStr">
        <is>
          <t>Initial royalty rate</t>
        </is>
      </c>
      <c r="B10" s="8" t="n">
        <v>0.065</v>
      </c>
    </row>
    <row r="11">
      <c r="A11" s="11" t="inlineStr">
        <is>
          <t>Stepped royalty rate</t>
        </is>
      </c>
      <c r="B11" s="8" t="n">
        <v>0.04</v>
      </c>
    </row>
    <row r="12">
      <c r="A12" s="11" t="inlineStr">
        <is>
          <t>Step threshold (cumulative Net Sales)</t>
        </is>
      </c>
      <c r="B12" s="6" t="n">
        <v>80000000</v>
      </c>
    </row>
    <row r="13">
      <c r="A13" s="11" t="inlineStr">
        <is>
          <t>Minimum annual royalty (from Yr 3)</t>
        </is>
      </c>
      <c r="B13" s="6" t="n">
        <v>750000</v>
      </c>
    </row>
    <row r="14">
      <c r="A14" s="11" t="inlineStr">
        <is>
          <t>Liability cap</t>
        </is>
      </c>
      <c r="B14" s="5" t="inlineStr">
        <is>
          <t>125% of sums paid in preceding 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2026-06-30T21:49:08Z</dcterms:created>
  <dcterms:modified xmlns:dcterms="http://purl.org/dc/terms/" xmlns:xsi="http://www.w3.org/2001/XMLSchema-instance" xsi:type="dcterms:W3CDTF">2026-06-30T21:49:08Z</dcterms:modified>
</cp:coreProperties>
</file>