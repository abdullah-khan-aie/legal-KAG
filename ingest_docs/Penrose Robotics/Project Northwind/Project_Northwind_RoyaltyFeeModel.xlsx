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e Model" sheetId="1" state="visible" r:id="rId3"/>
    <sheet name="Quarterly Royalty" sheetId="2" state="visible" r:id="rId4"/>
    <sheet name="Patent Schedu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<sst xmlns="http://schemas.openxmlformats.org/spreadsheetml/2006/main" count="81" uniqueCount="76">
  <si>
    <t xml:space="preserve">PROJECT NORTHWIND — ROYALTY &amp; FEE MODEL</t>
  </si>
  <si>
    <t xml:space="preserve">Penrose Robotics Limited (Licensor) / Wexbourne Retail Group Limited (Licensee) — Licence dated 12 January 2026</t>
  </si>
  <si>
    <t xml:space="preserve">All figures £ exclusive of VAT. Blue = input assumption; black = formula. Prepared by Whitfield Carter LLP.</t>
  </si>
  <si>
    <t xml:space="preserve">KEY ASSUMPTIONS</t>
  </si>
  <si>
    <t xml:space="preserve">Up-front licence fee</t>
  </si>
  <si>
    <t xml:space="preserve">Per-robot royalty (standard, p.a.)</t>
  </si>
  <si>
    <t xml:space="preserve">Per-robot royalty (early adopter, first 250, p.a.)</t>
  </si>
  <si>
    <t xml:space="preserve">Annual minimum royalty robots</t>
  </si>
  <si>
    <t xml:space="preserve">Maintenance &amp; support (% of licence fee)</t>
  </si>
  <si>
    <t xml:space="preserve">CPIH indexation cap (p.a.)</t>
  </si>
  <si>
    <t xml:space="preserve">Escrow fees p.a. (shared 50/50)</t>
  </si>
  <si>
    <t xml:space="preserve">Annual maintenance &amp; support charge (derived)</t>
  </si>
  <si>
    <t xml:space="preserve">5-YEAR REVENUE BUILD</t>
  </si>
  <si>
    <t xml:space="preserve">Contract Year</t>
  </si>
  <si>
    <t xml:space="preserve">Deployed Robots (peak)</t>
  </si>
  <si>
    <t xml:space="preserve">Std-rate robots</t>
  </si>
  <si>
    <t xml:space="preserve">Early-adopter robots</t>
  </si>
  <si>
    <t xml:space="preserve">Royalty revenue</t>
  </si>
  <si>
    <t xml:space="preserve">Min. royalty top-up</t>
  </si>
  <si>
    <t xml:space="preserve">Maintenance &amp; support</t>
  </si>
  <si>
    <t xml:space="preserve">Total annual fees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</si>
  <si>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</si>
  <si>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</si>
  <si>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</si>
  <si>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</si>
  <si>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</si>
  <si>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Total (excl. up-front)</t>
  </si>
  <si>
    <t xml:space="preserve">Total recurring fees (Years 1–5)</t>
  </si>
  <si>
    <t xml:space="preserve">Total 5-year contract value</t>
  </si>
  <si>
    <t xml:space="preserve">QUARTERLY ROYALTY SCHEDULE — YEAR 1</t>
  </si>
  <si>
    <t xml:space="preserve">Royalty charged on peak Deployed Robots per quarter; reconciled to annual minimum at year end.</t>
  </si>
  <si>
    <t xml:space="preserve">Quarter</t>
  </si>
  <si>
    <t xml:space="preserve">Peak Deployed Robots</t>
  </si>
  <si>
    <t xml:space="preserve">Std robots</t>
  </si>
  <si>
    <t xml:space="preserve">Quarterly royalty</t>
  </si>
  <si>
    <t xml:space="preserve">Cumulative royalty</t>
  </si>
  <si>
    <t xml:space="preserve">Annual min (pro-rata)</t>
  </si>
  <si>
    <t xml:space="preserve">Top-up due</t>
  </si>
  <si>
    <t xml:space="preserve">Q1</t>
  </si>
  <si>
    <t xml:space="preserve">Q2</t>
  </si>
  <si>
    <t xml:space="preserve">Q3</t>
  </si>
  <si>
    <t xml:space="preserve">Q4</t>
  </si>
  <si>
    <t xml:space="preserve">Year 1 total</t>
  </si>
  <si>
    <t xml:space="preserve">Note: cross-check Q4 cumulative royalty + final top-up against Year 1 minimum royalty in Fee Model.</t>
  </si>
  <si>
    <t xml:space="preserve">SCHEDULE 1 — LICENSED PATENTS &amp; MAINTENANCE COST INDEX</t>
  </si>
  <si>
    <t xml:space="preserve">Patents and applications licensed under the Northwind licence; annual renewal/maintenance cost borne by Licensor (cl. 7.3).</t>
  </si>
  <si>
    <t xml:space="preserve">No.</t>
  </si>
  <si>
    <t xml:space="preserve">Application / Grant No.</t>
  </si>
  <si>
    <t xml:space="preserve">Jurisdiction</t>
  </si>
  <si>
    <t xml:space="preserve">Title</t>
  </si>
  <si>
    <t xml:space="preserve">Status</t>
  </si>
  <si>
    <t xml:space="preserve">Next renewal</t>
  </si>
  <si>
    <t xml:space="preserve">Annual cost (£)</t>
  </si>
  <si>
    <t xml:space="preserve">EP3 842 119 B1</t>
  </si>
  <si>
    <t xml:space="preserve">EPO (UK/DE/FR/IE)</t>
  </si>
  <si>
    <t xml:space="preserve">Collision-free path planning in dynamic warehouse environments</t>
  </si>
  <si>
    <t xml:space="preserve">Granted</t>
  </si>
  <si>
    <t xml:space="preserve">2027-03-31</t>
  </si>
  <si>
    <t xml:space="preserve">GB2 597 044 B</t>
  </si>
  <si>
    <t xml:space="preserve">United Kingdom</t>
  </si>
  <si>
    <t xml:space="preserve">Multi-robot fleet orchestration via decentralised traffic negotiation</t>
  </si>
  <si>
    <t xml:space="preserve">2026-11-30</t>
  </si>
  <si>
    <t xml:space="preserve">US 11,512,983 B2</t>
  </si>
  <si>
    <t xml:space="preserve">United States</t>
  </si>
  <si>
    <t xml:space="preserve">Real-time perception &amp; obstacle classification in mobile robots</t>
  </si>
  <si>
    <t xml:space="preserve">2028-01-15</t>
  </si>
  <si>
    <t xml:space="preserve">EP21 198 776.2</t>
  </si>
  <si>
    <t xml:space="preserve">EPO (pending)</t>
  </si>
  <si>
    <t xml:space="preserve">Adaptive charging &amp; task scheduling for AMR fleets</t>
  </si>
  <si>
    <t xml:space="preserve">Pending</t>
  </si>
  <si>
    <t xml:space="preserve">2026-09-30</t>
  </si>
  <si>
    <t xml:space="preserve">GB2 611 902 A</t>
  </si>
  <si>
    <t xml:space="preserve">Dynamic re-routing on detection of human co-workers</t>
  </si>
  <si>
    <t xml:space="preserve">Under exam.</t>
  </si>
  <si>
    <t xml:space="preserve">2026-08-31</t>
  </si>
  <si>
    <t xml:space="preserve">Total annual portfolio maintenance cost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</si>
</sst>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;&quot;(£&quot;#,##0\);\-"/>
    <numFmt numFmtId="166" formatCode="#,##0;\(#,##0\);\-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6CC"/>
        <bgColor rgb="FFF2F4F8"/>
      </patternFill>
    </fill>
    <fill>
      <patternFill patternType="solid">
        <fgColor rgb="FF1F3864"/>
        <bgColor rgb="FF333333"/>
      </patternFill>
    </fill>
    <fill>
      <patternFill patternType="solid">
        <fgColor rgb="FFF2F4F8"/>
        <bgColor rgb="FFFFFFFF"/>
      </patternFill>
    </fill>
    <fill>
      <patternFill patternType="solid">
        <fgColor rgb="FFD5E8F0"/>
        <bgColor rgb="FFF2F4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7" customFormat="false" ht="15" hidden="false" customHeight="false" outlineLevel="0" collapsed="false">
      <c r="A7" s="4" t="s">
        <v>4</v>
      </c>
      <c r="B7" s="5" t="n">
        <v>3200000</v>
      </c>
    </row>
    <row r="8" customFormat="false" ht="15" hidden="false" customHeight="false" outlineLevel="0" collapsed="false">
      <c r="A8" s="4" t="s">
        <v>5</v>
      </c>
      <c r="B8" s="5" t="n">
        <v>1450</v>
      </c>
    </row>
    <row r="9" customFormat="false" ht="15" hidden="false" customHeight="false" outlineLevel="0" collapsed="false">
      <c r="A9" s="4" t="s">
        <v>6</v>
      </c>
      <c r="B9" s="5" t="n">
        <v>1160</v>
      </c>
    </row>
    <row r="10" customFormat="false" ht="15" hidden="false" customHeight="false" outlineLevel="0" collapsed="false">
      <c r="A10" s="4" t="s">
        <v>7</v>
      </c>
      <c r="B10" s="6" t="n">
        <v>750</v>
      </c>
    </row>
    <row r="11" customFormat="false" ht="15" hidden="false" customHeight="false" outlineLevel="0" collapsed="false">
      <c r="A11" s="4" t="s">
        <v>8</v>
      </c>
      <c r="B11" s="7" t="n">
        <v>0.18</v>
      </c>
    </row>
    <row r="12" customFormat="false" ht="15" hidden="false" customHeight="false" outlineLevel="0" collapsed="false">
      <c r="A12" s="4" t="s">
        <v>9</v>
      </c>
      <c r="B12" s="7" t="n">
        <v>0.04</v>
      </c>
    </row>
    <row r="13" customFormat="false" ht="15" hidden="false" customHeight="false" outlineLevel="0" collapsed="false">
      <c r="A13" s="4" t="s">
        <v>10</v>
      </c>
      <c r="B13" s="5" t="n">
        <v>3600</v>
      </c>
    </row>
    <row r="14" customFormat="false" ht="15" hidden="false" customHeight="false" outlineLevel="0" collapsed="false">
      <c r="A14" s="4" t="s">
        <v>11</v>
      </c>
      <c r="B14" s="8" t="n">
        <f aca="false">B7*B11</f>
        <v>576000</v>
      </c>
    </row>
    <row r="17" customFormat="false" ht="15" hidden="false" customHeight="false" outlineLevel="0" collapsed="false">
      <c r="A17" s="3" t="s">
        <v>12</v>
      </c>
    </row>
    <row r="18" customFormat="false" ht="26.85" hidden="false" customHeight="false" outlineLevel="0" collapsed="false">
      <c r="A18" s="9" t="s">
        <v>13</v>
      </c>
      <c r="B18" s="9" t="s">
        <v>14</v>
      </c>
      <c r="C18" s="9" t="s">
        <v>15</v>
      </c>
      <c r="D18" s="9" t="s">
        <v>16</v>
      </c>
      <c r="E18" s="9" t="s">
        <v>17</v>
      </c>
      <c r="F18" s="9" t="s">
        <v>18</v>
      </c>
      <c r="G18" s="9" t="s">
        <v>19</v>
      </c>
      <c r="H18" s="9" t="s">
        <v>20</v>
      </c>
    </row>
    <row r="19" customFormat="false" ht="15" hidden="false" customHeight="false" outlineLevel="0" collapsed="false">
      <c r="A19" s="10" t="s">
        <v>21</v>
      </c>
      <c r="B19" s="11" t="n">
        <v>280</v>
      </c>
      <c r="C19" s="12" t="n">
        <f aca="false">MAX(0,B19-D19)</f>
        <v>30</v>
      </c>
      <c r="D19" s="12" t="n">
        <f aca="false">MIN(250,B19)</f>
        <v>250</v>
      </c>
      <c r="E19" s="13" t="n">
        <f aca="false">C19*$B$8+D19*$B$9</f>
        <v>333500</v>
      </c>
      <c r="F19" s="13" t="n">
        <f aca="false">MAX(0,$B$10*$B$8-E19)</f>
        <v>754000</v>
      </c>
      <c r="G19" s="13" t="n">
        <f aca="false">$B$14*(1+$B$12)^0</f>
        <v>576000</v>
      </c>
      <c r="H19" s="13" t="n">
        <f aca="false">E19+F19+G19</f>
        <v>1663500</v>
      </c>
    </row>
    <row r="20" customFormat="false" ht="15" hidden="false" customHeight="false" outlineLevel="0" collapsed="false">
      <c r="A20" s="14" t="s">
        <v>22</v>
      </c>
      <c r="B20" s="6" t="n">
        <v>560</v>
      </c>
      <c r="C20" s="15" t="n">
        <f aca="false">MAX(0,B20-D20)</f>
        <v>310</v>
      </c>
      <c r="D20" s="15" t="n">
        <f aca="false">MIN(250,B20)</f>
        <v>250</v>
      </c>
      <c r="E20" s="16" t="n">
        <f aca="false">C20*$B$8+D20*$B$9</f>
        <v>739500</v>
      </c>
      <c r="F20" s="16" t="n">
        <f aca="false">MAX(0,$B$10*$B$8-E20)</f>
        <v>348000</v>
      </c>
      <c r="G20" s="16" t="n">
        <f aca="false">$B$14*(1+$B$12)^1</f>
        <v>599040</v>
      </c>
      <c r="H20" s="16" t="n">
        <f aca="false">E20+F20+G20</f>
        <v>1686540</v>
      </c>
    </row>
    <row r="21" customFormat="false" ht="15" hidden="false" customHeight="false" outlineLevel="0" collapsed="false">
      <c r="A21" s="10" t="s">
        <v>23</v>
      </c>
      <c r="B21" s="11" t="n">
        <v>820</v>
      </c>
      <c r="C21" s="12" t="n">
        <f aca="false">MAX(0,B21-D21)</f>
        <v>570</v>
      </c>
      <c r="D21" s="12" t="n">
        <f aca="false">MIN(250,B21)</f>
        <v>250</v>
      </c>
      <c r="E21" s="13" t="n">
        <f aca="false">C21*$B$8+D21*$B$9</f>
        <v>1116500</v>
      </c>
      <c r="F21" s="13" t="n">
        <f aca="false">MAX(0,$B$10*$B$8-E21)</f>
        <v>0</v>
      </c>
      <c r="G21" s="13" t="n">
        <f aca="false">$B$14*(1+$B$12)^2</f>
        <v>623001.6</v>
      </c>
      <c r="H21" s="13" t="n">
        <f aca="false">E21+F21+G21</f>
        <v>1739501.6</v>
      </c>
    </row>
    <row r="22" customFormat="false" ht="15" hidden="false" customHeight="false" outlineLevel="0" collapsed="false">
      <c r="A22" s="14" t="s">
        <v>24</v>
      </c>
      <c r="B22" s="6" t="n">
        <v>1010</v>
      </c>
      <c r="C22" s="15" t="n">
        <f aca="false">MAX(0,B22-D22)</f>
        <v>760</v>
      </c>
      <c r="D22" s="15" t="n">
        <f aca="false">MIN(250,B22)</f>
        <v>250</v>
      </c>
      <c r="E22" s="16" t="n">
        <f aca="false">C22*$B$8+D22*$B$9</f>
        <v>1392000</v>
      </c>
      <c r="F22" s="16" t="n">
        <f aca="false">MAX(0,$B$10*$B$8-E22)</f>
        <v>0</v>
      </c>
      <c r="G22" s="16" t="n">
        <f aca="false">$B$14*(1+$B$12)^3</f>
        <v>647921.664</v>
      </c>
      <c r="H22" s="16" t="n">
        <f aca="false">E22+F22+G22</f>
        <v>2039921.664</v>
      </c>
    </row>
    <row r="23" customFormat="false" ht="15" hidden="false" customHeight="false" outlineLevel="0" collapsed="false">
      <c r="A23" s="10" t="s">
        <v>25</v>
      </c>
      <c r="B23" s="11" t="n">
        <v>1180</v>
      </c>
      <c r="C23" s="12" t="n">
        <f aca="false">MAX(0,B23-D23)</f>
        <v>930</v>
      </c>
      <c r="D23" s="12" t="n">
        <f aca="false">MIN(250,B23)</f>
        <v>250</v>
      </c>
      <c r="E23" s="13" t="n">
        <f aca="false">C23*$B$8+D23*$B$9</f>
        <v>1638500</v>
      </c>
      <c r="F23" s="13" t="n">
        <f aca="false">MAX(0,$B$10*$B$8-E23)</f>
        <v>0</v>
      </c>
      <c r="G23" s="13" t="n">
        <f aca="false">$B$14*(1+$B$12)^4</f>
        <v>673838.53056</v>
      </c>
      <c r="H23" s="13" t="n">
        <f aca="false">E23+F23+G23</f>
        <v>2312338.53056</v>
      </c>
    </row>
    <row r="24" customFormat="false" ht="15" hidden="false" customHeight="false" outlineLevel="0" collapsed="false">
      <c r="A24" s="3" t="s">
        <v>26</v>
      </c>
      <c r="E24" s="17" t="n">
        <f aca="false">SUM(E19:E23)</f>
        <v>5220000</v>
      </c>
      <c r="F24" s="17" t="n">
        <f aca="false">SUM(F19:F23)</f>
        <v>1102000</v>
      </c>
      <c r="G24" s="17" t="n">
        <f aca="false">SUM(G19:G23)</f>
        <v>3119801.79456</v>
      </c>
      <c r="H24" s="17" t="n">
        <f aca="false">SUM(H19:H23)</f>
        <v>9441801.79456</v>
      </c>
    </row>
    <row r="26" customFormat="false" ht="15" hidden="false" customHeight="false" outlineLevel="0" collapsed="false">
      <c r="A26" s="4" t="s">
        <v>4</v>
      </c>
      <c r="H26" s="18" t="n">
        <f aca="false">B7</f>
        <v>3200000</v>
      </c>
    </row>
    <row r="27" customFormat="false" ht="15" hidden="false" customHeight="false" outlineLevel="0" collapsed="false">
      <c r="A27" s="4" t="s">
        <v>27</v>
      </c>
      <c r="H27" s="18" t="n">
        <f aca="false">H24</f>
        <v>9441801.79456</v>
      </c>
    </row>
    <row r="28" customFormat="false" ht="15" hidden="false" customHeight="false" outlineLevel="0" collapsed="false">
      <c r="A28" s="3" t="s">
        <v>28</v>
      </c>
      <c r="H28" s="19" t="n">
        <f aca="false">H26+H27</f>
        <v>12641801.79456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26.85" hidden="false" customHeight="false" outlineLevel="0" collapsed="false">
      <c r="A4" s="9" t="s">
        <v>31</v>
      </c>
      <c r="B4" s="9" t="s">
        <v>32</v>
      </c>
      <c r="C4" s="9" t="s">
        <v>33</v>
      </c>
      <c r="D4" s="9" t="s">
        <v>16</v>
      </c>
      <c r="E4" s="9" t="s">
        <v>34</v>
      </c>
      <c r="F4" s="9" t="s">
        <v>35</v>
      </c>
      <c r="G4" s="9" t="s">
        <v>36</v>
      </c>
      <c r="H4" s="9" t="s">
        <v>37</v>
      </c>
    </row>
    <row r="5" customFormat="false" ht="15" hidden="false" customHeight="false" outlineLevel="0" collapsed="false">
      <c r="A5" s="10" t="s">
        <v>38</v>
      </c>
      <c r="B5" s="11" t="n">
        <v>120</v>
      </c>
      <c r="C5" s="12" t="n">
        <f aca="false">MAX(0,B5-D5)</f>
        <v>0</v>
      </c>
      <c r="D5" s="12" t="n">
        <f aca="false">MIN(250,B5)</f>
        <v>120</v>
      </c>
      <c r="E5" s="13" t="n">
        <f aca="false">(C5*'Fee Model'!$B$8+D5*'Fee Model'!$B$9)/4</f>
        <v>34800</v>
      </c>
      <c r="F5" s="13" t="n">
        <f aca="false">E5</f>
        <v>34800</v>
      </c>
      <c r="G5" s="13" t="n">
        <f aca="false">'Fee Model'!$B$10*'Fee Model'!$B$8/4*1</f>
        <v>271875</v>
      </c>
      <c r="H5" s="13" t="n">
        <f aca="false">MAX(0,G5-F5)</f>
        <v>237075</v>
      </c>
    </row>
    <row r="6" customFormat="false" ht="15" hidden="false" customHeight="false" outlineLevel="0" collapsed="false">
      <c r="A6" s="14" t="s">
        <v>39</v>
      </c>
      <c r="B6" s="6" t="n">
        <v>200</v>
      </c>
      <c r="C6" s="15" t="n">
        <f aca="false">MAX(0,B6-D6)</f>
        <v>0</v>
      </c>
      <c r="D6" s="15" t="n">
        <f aca="false">MIN(250,B6)</f>
        <v>200</v>
      </c>
      <c r="E6" s="16" t="n">
        <f aca="false">(C6*'Fee Model'!$B$8+D6*'Fee Model'!$B$9)/4</f>
        <v>58000</v>
      </c>
      <c r="F6" s="16" t="n">
        <f aca="false">F5+E6</f>
        <v>92800</v>
      </c>
      <c r="G6" s="16" t="n">
        <f aca="false">'Fee Model'!$B$10*'Fee Model'!$B$8/4*2</f>
        <v>543750</v>
      </c>
      <c r="H6" s="16" t="n">
        <f aca="false">MAX(0,G6-F6)</f>
        <v>450950</v>
      </c>
    </row>
    <row r="7" customFormat="false" ht="15" hidden="false" customHeight="false" outlineLevel="0" collapsed="false">
      <c r="A7" s="10" t="s">
        <v>40</v>
      </c>
      <c r="B7" s="11" t="n">
        <v>250</v>
      </c>
      <c r="C7" s="12" t="n">
        <f aca="false">MAX(0,B7-D7)</f>
        <v>0</v>
      </c>
      <c r="D7" s="12" t="n">
        <f aca="false">MIN(250,B7)</f>
        <v>250</v>
      </c>
      <c r="E7" s="13" t="n">
        <f aca="false">(C7*'Fee Model'!$B$8+D7*'Fee Model'!$B$9)/4</f>
        <v>72500</v>
      </c>
      <c r="F7" s="13" t="n">
        <f aca="false">F6+E7</f>
        <v>165300</v>
      </c>
      <c r="G7" s="13" t="n">
        <f aca="false">'Fee Model'!$B$10*'Fee Model'!$B$8/4*3</f>
        <v>815625</v>
      </c>
      <c r="H7" s="13" t="n">
        <f aca="false">MAX(0,G7-F7)</f>
        <v>650325</v>
      </c>
    </row>
    <row r="8" customFormat="false" ht="15" hidden="false" customHeight="false" outlineLevel="0" collapsed="false">
      <c r="A8" s="14" t="s">
        <v>41</v>
      </c>
      <c r="B8" s="6" t="n">
        <v>280</v>
      </c>
      <c r="C8" s="15" t="n">
        <f aca="false">MAX(0,B8-D8)</f>
        <v>30</v>
      </c>
      <c r="D8" s="15" t="n">
        <f aca="false">MIN(250,B8)</f>
        <v>250</v>
      </c>
      <c r="E8" s="16" t="n">
        <f aca="false">(C8*'Fee Model'!$B$8+D8*'Fee Model'!$B$9)/4</f>
        <v>83375</v>
      </c>
      <c r="F8" s="16" t="n">
        <f aca="false">F7+E8</f>
        <v>248675</v>
      </c>
      <c r="G8" s="16" t="n">
        <f aca="false">'Fee Model'!$B$10*'Fee Model'!$B$8/4*4</f>
        <v>1087500</v>
      </c>
      <c r="H8" s="16" t="n">
        <f aca="false">MAX(0,G8-F8)</f>
        <v>838825</v>
      </c>
    </row>
    <row r="9" customFormat="false" ht="15" hidden="false" customHeight="false" outlineLevel="0" collapsed="false">
      <c r="A9" s="3" t="s">
        <v>42</v>
      </c>
      <c r="E9" s="20" t="n">
        <f aca="false">SUM(E5:E8)</f>
        <v>248675</v>
      </c>
    </row>
    <row r="11" customFormat="false" ht="15" hidden="false" customHeight="false" outlineLevel="0" collapsed="false">
      <c r="A11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7" min="6" style="0" width="14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26.85" hidden="false" customHeight="false" outlineLevel="0" collapsed="false">
      <c r="A4" s="9" t="s">
        <v>46</v>
      </c>
      <c r="B4" s="9" t="s">
        <v>47</v>
      </c>
      <c r="C4" s="9" t="s">
        <v>48</v>
      </c>
      <c r="D4" s="9" t="s">
        <v>49</v>
      </c>
      <c r="E4" s="9" t="s">
        <v>50</v>
      </c>
      <c r="F4" s="9" t="s">
        <v>51</v>
      </c>
      <c r="G4" s="9" t="s">
        <v>52</v>
      </c>
    </row>
    <row r="5" customFormat="false" ht="23.85" hidden="false" customHeight="false" outlineLevel="0" collapsed="false">
      <c r="A5" s="21" t="n">
        <v>1</v>
      </c>
      <c r="B5" s="21" t="s">
        <v>53</v>
      </c>
      <c r="C5" s="21" t="s">
        <v>54</v>
      </c>
      <c r="D5" s="21" t="s">
        <v>55</v>
      </c>
      <c r="E5" s="21" t="s">
        <v>56</v>
      </c>
      <c r="F5" s="21" t="s">
        <v>57</v>
      </c>
      <c r="G5" s="22" t="n">
        <v>4200</v>
      </c>
    </row>
    <row r="6" customFormat="false" ht="23.85" hidden="false" customHeight="false" outlineLevel="0" collapsed="false">
      <c r="A6" s="23" t="n">
        <v>2</v>
      </c>
      <c r="B6" s="23" t="s">
        <v>58</v>
      </c>
      <c r="C6" s="23" t="s">
        <v>59</v>
      </c>
      <c r="D6" s="23" t="s">
        <v>60</v>
      </c>
      <c r="E6" s="23" t="s">
        <v>56</v>
      </c>
      <c r="F6" s="23" t="s">
        <v>61</v>
      </c>
      <c r="G6" s="5" t="n">
        <v>650</v>
      </c>
    </row>
    <row r="7" customFormat="false" ht="23.85" hidden="false" customHeight="false" outlineLevel="0" collapsed="false">
      <c r="A7" s="21" t="n">
        <v>3</v>
      </c>
      <c r="B7" s="21" t="s">
        <v>62</v>
      </c>
      <c r="C7" s="21" t="s">
        <v>63</v>
      </c>
      <c r="D7" s="21" t="s">
        <v>64</v>
      </c>
      <c r="E7" s="21" t="s">
        <v>56</v>
      </c>
      <c r="F7" s="21" t="s">
        <v>65</v>
      </c>
      <c r="G7" s="22" t="n">
        <v>3100</v>
      </c>
    </row>
    <row r="8" customFormat="false" ht="23.85" hidden="false" customHeight="false" outlineLevel="0" collapsed="false">
      <c r="A8" s="23" t="n">
        <v>4</v>
      </c>
      <c r="B8" s="23" t="s">
        <v>66</v>
      </c>
      <c r="C8" s="23" t="s">
        <v>67</v>
      </c>
      <c r="D8" s="23" t="s">
        <v>68</v>
      </c>
      <c r="E8" s="23" t="s">
        <v>69</v>
      </c>
      <c r="F8" s="23" t="s">
        <v>70</v>
      </c>
      <c r="G8" s="5" t="n">
        <v>2800</v>
      </c>
    </row>
    <row r="9" customFormat="false" ht="23.85" hidden="false" customHeight="false" outlineLevel="0" collapsed="false">
      <c r="A9" s="21" t="n">
        <v>5</v>
      </c>
      <c r="B9" s="21" t="s">
        <v>71</v>
      </c>
      <c r="C9" s="21" t="s">
        <v>59</v>
      </c>
      <c r="D9" s="21" t="s">
        <v>72</v>
      </c>
      <c r="E9" s="21" t="s">
        <v>73</v>
      </c>
      <c r="F9" s="21" t="s">
        <v>74</v>
      </c>
      <c r="G9" s="22" t="n">
        <v>900</v>
      </c>
    </row>
    <row r="10" customFormat="false" ht="15" hidden="false" customHeight="false" outlineLevel="0" collapsed="false">
      <c r="D10" s="3" t="s">
        <v>75</v>
      </c>
      <c r="G10" s="17" t="n">
        <f aca="false">SUM(G5:G9)</f>
        <v>11650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2026-06-26T12:17:42Z</dcterms:created>
  <dc:creator>openpyxl</dc:creator>
  <dc:description/>
  <dc:language>en-US</dc:language>
  <cp:lastModifiedBy/>
  <dcterms:modified xsi:type="dcterms:W3CDTF">2026-06-26T12:17:42Z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