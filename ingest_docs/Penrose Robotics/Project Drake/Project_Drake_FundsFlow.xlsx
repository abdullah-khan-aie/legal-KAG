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unds Flow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<sst xmlns="http://schemas.openxmlformats.org/spreadsheetml/2006/main" count="34" uniqueCount="31">
  <si>
    <t xml:space="preserve">Penrose Robotics Limited — Project Drake</t>
  </si>
  <si>
    <t xml:space="preserve">Series A Funds Flow Statement — Completion 14 November 2025</t>
  </si>
  <si>
    <t xml:space="preserve">Prepared by Whitfield Carter LLP (Ref SW/JO/DRAKE/0011). All amounts in GBP (£).</t>
  </si>
  <si>
    <t xml:space="preserve">SOURCES — subscription monies</t>
  </si>
  <si>
    <t xml:space="preserve">From (Investor)</t>
  </si>
  <si>
    <t xml:space="preserve">Bank / account</t>
  </si>
  <si>
    <t xml:space="preserve">Series A shares</t>
  </si>
  <si>
    <t xml:space="preserve">Amount (£)</t>
  </si>
  <si>
    <t xml:space="preserve">Calderbrook Growth Partners LLP</t>
  </si>
  <si>
    <t xml:space="preserve">Sterling Commercial Bank — 60-11-09 / 4471xxxx</t>
  </si>
  <si>
    <t xml:space="preserve">Aldridge Seed LP</t>
  </si>
  <si>
    <t xml:space="preserve">Clydesford Bank — 20-44-71 / 7783xxxx</t>
  </si>
  <si>
    <t xml:space="preserve">Total sources</t>
  </si>
  <si>
    <t xml:space="preserve">USES — application of funds</t>
  </si>
  <si>
    <t xml:space="preserve">Payee</t>
  </si>
  <si>
    <t xml:space="preserve">Purpose</t>
  </si>
  <si>
    <t xml:space="preserve">Whitfield Carter LLP</t>
  </si>
  <si>
    <t xml:space="preserve">Company legal fees (incl. VAT &amp; disbursements)</t>
  </si>
  <si>
    <t xml:space="preserve">Birchall Stone LLP</t>
  </si>
  <si>
    <t xml:space="preserve">Investors' legal fees (paid by Company, capped)</t>
  </si>
  <si>
    <t xml:space="preserve">Companies House</t>
  </si>
  <si>
    <t xml:space="preserve">Filing fees (SH01, special resolution)</t>
  </si>
  <si>
    <t xml:space="preserve">Marlow Tax &amp; Advisory Ltd</t>
  </si>
  <si>
    <t xml:space="preserve">Financial &amp; tax due diligence fees</t>
  </si>
  <si>
    <t xml:space="preserve">Penrose Robotics Limited</t>
  </si>
  <si>
    <t xml:space="preserve">Net subscription proceeds retained by Company</t>
  </si>
  <si>
    <t xml:space="preserve">Total uses</t>
  </si>
  <si>
    <t xml:space="preserve">Reconciliation</t>
  </si>
  <si>
    <t xml:space="preserve">Difference (must be nil)</t>
  </si>
  <si>
    <t xml:space="preserve">Transaction costs borne by Company (total)</t>
  </si>
  <si>
    <t xml:space="preserve">Net proceeds to Company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</si>
</sst>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;\(#,##0\);\-"/>
    <numFmt numFmtId="166" formatCode="\£#,##0;&quot;(£&quot;#,##0\);\-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1"/>
      <color rgb="FF555555"/>
      <name val="Arial"/>
      <family val="0"/>
      <charset val="1"/>
    </font>
    <font>
      <sz val="9"/>
      <color rgb="FF888888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CE4D6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88888"/>
      <rgbColor rgb="FF9999FF"/>
      <rgbColor rgb="FF993366"/>
      <rgbColor rgb="FFFCE4D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46"/>
    <col collapsed="false" customWidth="true" hidden="false" outlineLevel="0" max="3" min="3" style="0" width="4"/>
    <col collapsed="false" customWidth="true" hidden="false" outlineLevel="0" max="4" min="4" style="0" width="18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5" customFormat="false" ht="15" hidden="false" customHeight="false" outlineLevel="0" collapsed="false">
      <c r="A5" s="4" t="s">
        <v>3</v>
      </c>
    </row>
    <row r="6" customFormat="false" ht="15" hidden="false" customHeight="false" outlineLevel="0" collapsed="false">
      <c r="A6" s="5" t="s">
        <v>4</v>
      </c>
      <c r="B6" s="6" t="s">
        <v>5</v>
      </c>
      <c r="C6" s="6" t="s">
        <v>6</v>
      </c>
      <c r="D6" s="6" t="s">
        <v>7</v>
      </c>
    </row>
    <row r="7" customFormat="false" ht="15" hidden="false" customHeight="false" outlineLevel="0" collapsed="false">
      <c r="A7" s="7" t="s">
        <v>8</v>
      </c>
      <c r="B7" s="7" t="s">
        <v>9</v>
      </c>
      <c r="C7" s="8" t="n">
        <v>750000</v>
      </c>
      <c r="D7" s="9" t="n">
        <v>6000000</v>
      </c>
    </row>
    <row r="8" customFormat="false" ht="15" hidden="false" customHeight="false" outlineLevel="0" collapsed="false">
      <c r="A8" s="7" t="s">
        <v>10</v>
      </c>
      <c r="B8" s="7" t="s">
        <v>11</v>
      </c>
      <c r="C8" s="8" t="n">
        <v>250000</v>
      </c>
      <c r="D8" s="9" t="n">
        <v>2000000</v>
      </c>
    </row>
    <row r="9" customFormat="false" ht="15" hidden="false" customHeight="false" outlineLevel="0" collapsed="false">
      <c r="A9" s="10" t="s">
        <v>12</v>
      </c>
      <c r="B9" s="10"/>
      <c r="C9" s="11" t="n">
        <f aca="false">SUM(C7:C8)</f>
        <v>1000000</v>
      </c>
      <c r="D9" s="12" t="n">
        <f aca="false">SUM(D7:D8)</f>
        <v>8000000</v>
      </c>
    </row>
    <row r="11" customFormat="false" ht="15" hidden="false" customHeight="false" outlineLevel="0" collapsed="false">
      <c r="A11" s="4" t="s">
        <v>13</v>
      </c>
    </row>
    <row r="12" customFormat="false" ht="15" hidden="false" customHeight="false" outlineLevel="0" collapsed="false">
      <c r="A12" s="5" t="s">
        <v>14</v>
      </c>
      <c r="B12" s="6" t="s">
        <v>15</v>
      </c>
      <c r="C12" s="6"/>
      <c r="D12" s="6" t="s">
        <v>7</v>
      </c>
    </row>
    <row r="13" customFormat="false" ht="15" hidden="false" customHeight="false" outlineLevel="0" collapsed="false">
      <c r="A13" s="7" t="s">
        <v>16</v>
      </c>
      <c r="B13" s="7" t="s">
        <v>17</v>
      </c>
      <c r="C13" s="13"/>
      <c r="D13" s="9" t="n">
        <v>46500</v>
      </c>
    </row>
    <row r="14" customFormat="false" ht="15" hidden="false" customHeight="false" outlineLevel="0" collapsed="false">
      <c r="A14" s="7" t="s">
        <v>18</v>
      </c>
      <c r="B14" s="7" t="s">
        <v>19</v>
      </c>
      <c r="C14" s="13"/>
      <c r="D14" s="9" t="n">
        <v>55000</v>
      </c>
    </row>
    <row r="15" customFormat="false" ht="15" hidden="false" customHeight="false" outlineLevel="0" collapsed="false">
      <c r="A15" s="7" t="s">
        <v>20</v>
      </c>
      <c r="B15" s="7" t="s">
        <v>21</v>
      </c>
      <c r="C15" s="13"/>
      <c r="D15" s="9" t="n">
        <v>80</v>
      </c>
    </row>
    <row r="16" customFormat="false" ht="15" hidden="false" customHeight="false" outlineLevel="0" collapsed="false">
      <c r="A16" s="7" t="s">
        <v>22</v>
      </c>
      <c r="B16" s="7" t="s">
        <v>23</v>
      </c>
      <c r="C16" s="13"/>
      <c r="D16" s="9" t="n">
        <v>18000</v>
      </c>
    </row>
    <row r="17" customFormat="false" ht="15" hidden="false" customHeight="false" outlineLevel="0" collapsed="false">
      <c r="A17" s="7" t="s">
        <v>24</v>
      </c>
      <c r="B17" s="7" t="s">
        <v>25</v>
      </c>
      <c r="C17" s="13"/>
      <c r="D17" s="14" t="n">
        <f aca="false">D9-SUM(D13:D16)</f>
        <v>7880420</v>
      </c>
    </row>
    <row r="18" customFormat="false" ht="15" hidden="false" customHeight="false" outlineLevel="0" collapsed="false">
      <c r="A18" s="10" t="s">
        <v>26</v>
      </c>
      <c r="B18" s="10"/>
      <c r="C18" s="10"/>
      <c r="D18" s="12" t="n">
        <f aca="false">SUM(D13:D17)</f>
        <v>8000000</v>
      </c>
    </row>
    <row r="20" customFormat="false" ht="15" hidden="false" customHeight="false" outlineLevel="0" collapsed="false">
      <c r="A20" s="4" t="s">
        <v>27</v>
      </c>
    </row>
    <row r="21" customFormat="false" ht="15" hidden="false" customHeight="false" outlineLevel="0" collapsed="false">
      <c r="A21" s="15" t="s">
        <v>12</v>
      </c>
      <c r="D21" s="16" t="n">
        <f aca="false">D9</f>
        <v>8000000</v>
      </c>
    </row>
    <row r="22" customFormat="false" ht="15" hidden="false" customHeight="false" outlineLevel="0" collapsed="false">
      <c r="A22" s="15" t="s">
        <v>26</v>
      </c>
      <c r="D22" s="16" t="n">
        <f aca="false">D18</f>
        <v>8000000</v>
      </c>
    </row>
    <row r="23" customFormat="false" ht="15" hidden="false" customHeight="false" outlineLevel="0" collapsed="false">
      <c r="A23" s="4" t="s">
        <v>28</v>
      </c>
      <c r="D23" s="17" t="n">
        <f aca="false">D9-D18</f>
        <v>0</v>
      </c>
    </row>
    <row r="25" customFormat="false" ht="15" hidden="false" customHeight="false" outlineLevel="0" collapsed="false">
      <c r="A25" s="15" t="s">
        <v>29</v>
      </c>
      <c r="D25" s="16" t="n">
        <f aca="false">SUM(D13:D16)</f>
        <v>119580</v>
      </c>
    </row>
    <row r="26" customFormat="false" ht="15" hidden="false" customHeight="false" outlineLevel="0" collapsed="false">
      <c r="A26" s="15" t="s">
        <v>30</v>
      </c>
      <c r="D26" s="16" t="n">
        <f aca="false">D17</f>
        <v>7880420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2026-06-25T22:02:08Z</dcterms:created>
  <dc:creator>openpyxl</dc:creator>
  <dc:description/>
  <dc:language>en-US</dc:language>
  <cp:lastModifiedBy/>
  <dcterms:modified xsi:type="dcterms:W3CDTF">2026-06-25T22:02:08Z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