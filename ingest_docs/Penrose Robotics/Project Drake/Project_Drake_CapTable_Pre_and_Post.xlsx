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<sst xmlns="http://schemas.openxmlformats.org/spreadsheetml/2006/main" count="39" uniqueCount="31">
  <si>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Penrose Robotics Limited — Project Drake</t>
  </si>
  <si>
    <t xml:space="preserve">Series A capitalisation table (pre- and post-money), fully diluted</t>
  </si>
  <si>
    <t xml:space="preserve">Prepared by Whitfield Carter LLP  |  Completion: 14 November 2025  |  All figures fully diluted</t>
  </si>
  <si>
    <t xml:space="preserve">Key assumptions</t>
  </si>
  <si>
    <t xml:space="preserve">Pre-money valuation (£)</t>
  </si>
  <si>
    <t xml:space="preserve">New investment (£)</t>
  </si>
  <si>
    <t xml:space="preserve">Issue price per Series A share (£)</t>
  </si>
  <si>
    <t xml:space="preserve">Option pool target (% of post-money FD)</t>
  </si>
  <si>
    <t xml:space="preserve">Post-money valuation (£)</t>
  </si>
  <si>
    <t xml:space="preserve">New Series A shares issued</t>
  </si>
  <si>
    <t xml:space="preserve">Investor post-money stake</t>
  </si>
  <si>
    <t xml:space="preserve">Pre-money (fully diluted)</t>
  </si>
  <si>
    <t xml:space="preserve">Holder / class</t>
  </si>
  <si>
    <t xml:space="preserve">Shares</t>
  </si>
  <si>
    <t xml:space="preserve">Price/sh (£)</t>
  </si>
  <si>
    <t xml:space="preserve">Value (£)</t>
  </si>
  <si>
    <t xml:space="preserve">% FD</t>
  </si>
  <si>
    <t xml:space="preserve">Dr Marcus Penrose (Ordinary)</t>
  </si>
  <si>
    <t xml:space="preserve">Aisha Devlin (Ordinary)</t>
  </si>
  <si>
    <t xml:space="preserve">Seed / angel investors (Ordinary)</t>
  </si>
  <si>
    <t xml:space="preserve">Option pool (reserved, pre-money)</t>
  </si>
  <si>
    <t xml:space="preserve">Total pre-money (FD)</t>
  </si>
  <si>
    <t xml:space="preserve">Post-money (fully diluted)</t>
  </si>
  <si>
    <t xml:space="preserve">Calderbrook Growth Partners LLP (Series A)</t>
  </si>
  <si>
    <t xml:space="preserve">Aldridge Seed LP (Series A)</t>
  </si>
  <si>
    <t xml:space="preserve">Enlarged option pool (reserved)</t>
  </si>
  <si>
    <t xml:space="preserve">Total post-money (FD)</t>
  </si>
  <si>
    <t xml:space="preserve">Checks</t>
  </si>
  <si>
    <t xml:space="preserve">Series A shares issued = investment / price</t>
  </si>
  <si>
    <t xml:space="preserve">Investor stake = post-money %</t>
  </si>
  <si>
    <t xml:space="preserve">Post-money value (FD) = post-money valuation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</si>
</sst>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\£#,##0.00;&quot;(£&quot;#,##0.00\);\-"/>
    <numFmt numFmtId="167" formatCode="0.0%;\(0.0%\);\-"/>
    <numFmt numFmtId="168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24000000</v>
      </c>
    </row>
    <row r="7" customFormat="false" ht="15" hidden="false" customHeight="false" outlineLevel="0" collapsed="false">
      <c r="A7" s="5" t="s">
        <v>5</v>
      </c>
      <c r="B7" s="6" t="n">
        <v>8000000</v>
      </c>
    </row>
    <row r="8" customFormat="false" ht="15" hidden="false" customHeight="false" outlineLevel="0" collapsed="false">
      <c r="A8" s="5" t="s">
        <v>6</v>
      </c>
      <c r="B8" s="7" t="n">
        <v>8</v>
      </c>
    </row>
    <row r="9" customFormat="false" ht="15" hidden="false" customHeight="false" outlineLevel="0" collapsed="false">
      <c r="A9" s="5" t="s">
        <v>7</v>
      </c>
      <c r="B9" s="8" t="n">
        <v>0.12</v>
      </c>
    </row>
    <row r="10" customFormat="false" ht="15" hidden="false" customHeight="false" outlineLevel="0" collapsed="false">
      <c r="A10" s="5" t="s">
        <v>8</v>
      </c>
      <c r="B10" s="9" t="n">
        <f aca="false">B6+B7</f>
        <v>32000000</v>
      </c>
    </row>
    <row r="11" customFormat="false" ht="15" hidden="false" customHeight="false" outlineLevel="0" collapsed="false">
      <c r="A11" s="5" t="s">
        <v>9</v>
      </c>
      <c r="B11" s="10" t="n">
        <f aca="false">B7/B8</f>
        <v>1000000</v>
      </c>
    </row>
    <row r="12" customFormat="false" ht="15" hidden="false" customHeight="false" outlineLevel="0" collapsed="false">
      <c r="A12" s="5" t="s">
        <v>10</v>
      </c>
      <c r="B12" s="11" t="n">
        <f aca="false">B7/B10</f>
        <v>0.25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12" t="s">
        <v>12</v>
      </c>
      <c r="B16" s="13" t="s">
        <v>13</v>
      </c>
      <c r="C16" s="13" t="s">
        <v>14</v>
      </c>
      <c r="D16" s="13" t="s">
        <v>15</v>
      </c>
      <c r="E16" s="13" t="s">
        <v>16</v>
      </c>
    </row>
    <row r="17" customFormat="false" ht="15" hidden="false" customHeight="false" outlineLevel="0" collapsed="false">
      <c r="A17" s="14" t="s">
        <v>17</v>
      </c>
      <c r="B17" s="15" t="n">
        <v>1560000</v>
      </c>
      <c r="C17" s="16" t="n">
        <f aca="false">$B$8</f>
        <v>8</v>
      </c>
      <c r="D17" s="17" t="n">
        <f aca="false">B17*$B$8</f>
        <v>12480000</v>
      </c>
      <c r="E17" s="18" t="n">
        <f aca="false">B17/$B$21</f>
        <v>0.52</v>
      </c>
    </row>
    <row r="18" customFormat="false" ht="15" hidden="false" customHeight="false" outlineLevel="0" collapsed="false">
      <c r="A18" s="14" t="s">
        <v>18</v>
      </c>
      <c r="B18" s="15" t="n">
        <v>1040000</v>
      </c>
      <c r="C18" s="16" t="n">
        <f aca="false">$B$8</f>
        <v>8</v>
      </c>
      <c r="D18" s="17" t="n">
        <f aca="false">B18*$B$8</f>
        <v>8320000</v>
      </c>
      <c r="E18" s="18" t="n">
        <f aca="false">B18/$B$21</f>
        <v>0.346666666666667</v>
      </c>
    </row>
    <row r="19" customFormat="false" ht="15" hidden="false" customHeight="false" outlineLevel="0" collapsed="false">
      <c r="A19" s="14" t="s">
        <v>19</v>
      </c>
      <c r="B19" s="15" t="n">
        <v>160000</v>
      </c>
      <c r="C19" s="16" t="n">
        <f aca="false">$B$8</f>
        <v>8</v>
      </c>
      <c r="D19" s="17" t="n">
        <f aca="false">B19*$B$8</f>
        <v>1280000</v>
      </c>
      <c r="E19" s="18" t="n">
        <f aca="false">B19/$B$21</f>
        <v>0.0533333333333333</v>
      </c>
    </row>
    <row r="20" customFormat="false" ht="15" hidden="false" customHeight="false" outlineLevel="0" collapsed="false">
      <c r="A20" s="14" t="s">
        <v>20</v>
      </c>
      <c r="B20" s="15" t="n">
        <v>240000</v>
      </c>
      <c r="C20" s="16" t="n">
        <f aca="false">$B$8</f>
        <v>8</v>
      </c>
      <c r="D20" s="17" t="n">
        <f aca="false">B20*$B$8</f>
        <v>1920000</v>
      </c>
      <c r="E20" s="18" t="n">
        <f aca="false">B20/$B$21</f>
        <v>0.08</v>
      </c>
    </row>
    <row r="21" customFormat="false" ht="15" hidden="false" customHeight="false" outlineLevel="0" collapsed="false">
      <c r="A21" s="19" t="s">
        <v>21</v>
      </c>
      <c r="B21" s="20" t="n">
        <f aca="false">SUM(B17:B20)</f>
        <v>3000000</v>
      </c>
      <c r="C21" s="19"/>
      <c r="D21" s="21" t="n">
        <f aca="false">SUM(D17:D20)</f>
        <v>24000000</v>
      </c>
      <c r="E21" s="22" t="n">
        <f aca="false">SUM(E17:E20)</f>
        <v>1</v>
      </c>
    </row>
    <row r="23" customFormat="false" ht="15" hidden="false" customHeight="false" outlineLevel="0" collapsed="false">
      <c r="A23" s="4" t="s">
        <v>22</v>
      </c>
    </row>
    <row r="24" customFormat="false" ht="15" hidden="false" customHeight="false" outlineLevel="0" collapsed="false">
      <c r="A24" s="12" t="s">
        <v>12</v>
      </c>
      <c r="B24" s="13" t="s">
        <v>13</v>
      </c>
      <c r="C24" s="13" t="s">
        <v>14</v>
      </c>
      <c r="D24" s="13" t="s">
        <v>15</v>
      </c>
      <c r="E24" s="13" t="s">
        <v>16</v>
      </c>
    </row>
    <row r="25" customFormat="false" ht="15" hidden="false" customHeight="false" outlineLevel="0" collapsed="false">
      <c r="A25" s="14" t="s">
        <v>17</v>
      </c>
      <c r="B25" s="23" t="n">
        <f aca="false">B17</f>
        <v>1560000</v>
      </c>
      <c r="C25" s="16" t="n">
        <f aca="false">$B$8</f>
        <v>8</v>
      </c>
      <c r="D25" s="17" t="n">
        <f aca="false">B25*$B$8</f>
        <v>12480000</v>
      </c>
      <c r="E25" s="18" t="n">
        <f aca="false">B25/$B$31</f>
        <v>0.39</v>
      </c>
    </row>
    <row r="26" customFormat="false" ht="15" hidden="false" customHeight="false" outlineLevel="0" collapsed="false">
      <c r="A26" s="14" t="s">
        <v>18</v>
      </c>
      <c r="B26" s="23" t="n">
        <f aca="false">B18</f>
        <v>1040000</v>
      </c>
      <c r="C26" s="16" t="n">
        <f aca="false">$B$8</f>
        <v>8</v>
      </c>
      <c r="D26" s="17" t="n">
        <f aca="false">B26*$B$8</f>
        <v>8320000</v>
      </c>
      <c r="E26" s="18" t="n">
        <f aca="false">B26/$B$31</f>
        <v>0.26</v>
      </c>
    </row>
    <row r="27" customFormat="false" ht="15" hidden="false" customHeight="false" outlineLevel="0" collapsed="false">
      <c r="A27" s="14" t="s">
        <v>19</v>
      </c>
      <c r="B27" s="23" t="n">
        <f aca="false">B19</f>
        <v>160000</v>
      </c>
      <c r="C27" s="16" t="n">
        <f aca="false">$B$8</f>
        <v>8</v>
      </c>
      <c r="D27" s="17" t="n">
        <f aca="false">B27*$B$8</f>
        <v>1280000</v>
      </c>
      <c r="E27" s="18" t="n">
        <f aca="false">B27/$B$31</f>
        <v>0.04</v>
      </c>
    </row>
    <row r="28" customFormat="false" ht="15" hidden="false" customHeight="false" outlineLevel="0" collapsed="false">
      <c r="A28" s="14" t="s">
        <v>23</v>
      </c>
      <c r="B28" s="15" t="n">
        <v>750000</v>
      </c>
      <c r="C28" s="16" t="n">
        <f aca="false">$B$8</f>
        <v>8</v>
      </c>
      <c r="D28" s="17" t="n">
        <f aca="false">B28*$B$8</f>
        <v>6000000</v>
      </c>
      <c r="E28" s="18" t="n">
        <f aca="false">B28/$B$31</f>
        <v>0.1875</v>
      </c>
    </row>
    <row r="29" customFormat="false" ht="15" hidden="false" customHeight="false" outlineLevel="0" collapsed="false">
      <c r="A29" s="14" t="s">
        <v>24</v>
      </c>
      <c r="B29" s="15" t="n">
        <v>250000</v>
      </c>
      <c r="C29" s="16" t="n">
        <f aca="false">$B$8</f>
        <v>8</v>
      </c>
      <c r="D29" s="17" t="n">
        <f aca="false">B29*$B$8</f>
        <v>2000000</v>
      </c>
      <c r="E29" s="18" t="n">
        <f aca="false">B29/$B$31</f>
        <v>0.0625</v>
      </c>
    </row>
    <row r="30" customFormat="false" ht="15" hidden="false" customHeight="false" outlineLevel="0" collapsed="false">
      <c r="A30" s="14" t="s">
        <v>25</v>
      </c>
      <c r="B30" s="23" t="n">
        <f aca="false">B20</f>
        <v>240000</v>
      </c>
      <c r="C30" s="16" t="n">
        <f aca="false">$B$8</f>
        <v>8</v>
      </c>
      <c r="D30" s="17" t="n">
        <f aca="false">B30*$B$8</f>
        <v>1920000</v>
      </c>
      <c r="E30" s="18" t="n">
        <f aca="false">B30/$B$31</f>
        <v>0.06</v>
      </c>
    </row>
    <row r="31" customFormat="false" ht="15" hidden="false" customHeight="false" outlineLevel="0" collapsed="false">
      <c r="A31" s="19" t="s">
        <v>26</v>
      </c>
      <c r="B31" s="20" t="n">
        <f aca="false">SUM(B25:B30)</f>
        <v>4000000</v>
      </c>
      <c r="C31" s="19"/>
      <c r="D31" s="21" t="n">
        <f aca="false">SUM(D25:D30)</f>
        <v>32000000</v>
      </c>
      <c r="E31" s="22" t="n">
        <f aca="false">SUM(E25:E30)</f>
        <v>1</v>
      </c>
    </row>
    <row r="33" customFormat="false" ht="15" hidden="false" customHeight="false" outlineLevel="0" collapsed="false">
      <c r="A33" s="4" t="s">
        <v>27</v>
      </c>
    </row>
    <row r="34" customFormat="false" ht="15" hidden="false" customHeight="false" outlineLevel="0" collapsed="false">
      <c r="A34" s="5" t="s">
        <v>28</v>
      </c>
      <c r="B34" s="10" t="n">
        <f aca="false">B28+B29</f>
        <v>1000000</v>
      </c>
      <c r="C34" s="24" t="n">
        <f aca="false">B11</f>
        <v>1000000</v>
      </c>
    </row>
    <row r="35" customFormat="false" ht="15" hidden="false" customHeight="false" outlineLevel="0" collapsed="false">
      <c r="A35" s="5" t="s">
        <v>29</v>
      </c>
      <c r="B35" s="11" t="n">
        <f aca="false">E28+E29</f>
        <v>0.25</v>
      </c>
      <c r="C35" s="25" t="n">
        <f aca="false">B12</f>
        <v>0.25</v>
      </c>
    </row>
    <row r="36" customFormat="false" ht="15" hidden="false" customHeight="false" outlineLevel="0" collapsed="false">
      <c r="A36" s="5" t="s">
        <v>30</v>
      </c>
      <c r="B36" s="9" t="n">
        <f aca="false">D31</f>
        <v>32000000</v>
      </c>
      <c r="C36" s="26" t="n">
        <f aca="false">B10</f>
        <v>32000000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2026-06-25T22:02:08Z</dcterms:created>
  <dc:creator>openpyxl</dc:creator>
  <dc:description/>
  <dc:language>en-US</dc:language>
  <cp:lastModifiedBy/>
  <dcterms:modified xsi:type="dcterms:W3CDTF">2026-06-25T22:02:08Z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