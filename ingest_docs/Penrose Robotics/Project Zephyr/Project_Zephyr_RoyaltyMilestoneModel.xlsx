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ilestones" sheetId="2" state="visible" r:id="rId4"/>
    <sheet name="Cash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<sst xmlns="http://schemas.openxmlformats.org/spreadsheetml/2006/main" count="52" uniqueCount="47">
  <si>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PROJECT ZEPHYR — Royalty &amp; Milestone Model</t>
  </si>
  <si>
    <t xml:space="preserve">Penrose Robotics Limited (Licensor) / Wexbourne Retail Group Limited (Licensee)</t>
  </si>
  <si>
    <t xml:space="preserve">Prepared by Whitfield Carter LLP — figures per executed Licence dated 28 Nov 2025. Blue = input.</t>
  </si>
  <si>
    <t xml:space="preserve">Assumption</t>
  </si>
  <si>
    <t xml:space="preserve">Value</t>
  </si>
  <si>
    <t xml:space="preserve">Upfront Fee</t>
  </si>
  <si>
    <t xml:space="preserve">Annual Licence Fee (p.a.)</t>
  </si>
  <si>
    <t xml:space="preserve">Deployment milestone (each)</t>
  </si>
  <si>
    <t xml:space="preserve">Number of milestones</t>
  </si>
  <si>
    <t xml:space="preserve">Royalty rate (% of Net Benefit Value)</t>
  </si>
  <si>
    <t xml:space="preserve">Annual royalty cap</t>
  </si>
  <si>
    <t xml:space="preserve">Per-site activation fee</t>
  </si>
  <si>
    <t xml:space="preserve">Term (years)</t>
  </si>
  <si>
    <t xml:space="preserve">Deployment Milestones</t>
  </si>
  <si>
    <t xml:space="preserve">Milestone</t>
  </si>
  <si>
    <t xml:space="preserve">Description</t>
  </si>
  <si>
    <t xml:space="preserve">Target date</t>
  </si>
  <si>
    <t xml:space="preserve">Payment (£)</t>
  </si>
  <si>
    <t xml:space="preserve">M1 — Pilot acceptance</t>
  </si>
  <si>
    <t xml:space="preserve">Helmsman Core live at Daventry FC (120 AMRs); acceptance tests passed</t>
  </si>
  <si>
    <t xml:space="preserve">31 Jan 2026</t>
  </si>
  <si>
    <t xml:space="preserve">M2 — Multi-site rollout</t>
  </si>
  <si>
    <t xml:space="preserve">Lutterworth &amp; Peterborough live; combined fleet ≥ 400 AMRs</t>
  </si>
  <si>
    <t xml:space="preserve">30 Jun 2026</t>
  </si>
  <si>
    <t xml:space="preserve">M3 — Full estate optimisation</t>
  </si>
  <si>
    <t xml:space="preserve">Helmsman Insight validated; throughput uplift ≥ 18% vs baseline</t>
  </si>
  <si>
    <t xml:space="preserve">31 Dec 2026</t>
  </si>
  <si>
    <t xml:space="preserve">Total milestone payments</t>
  </si>
  <si>
    <t xml:space="preserve">7-Year Licence Cashflow (Licensor receipts)</t>
  </si>
  <si>
    <t xml:space="preserve">Net Benefit Value (NBV) is a blue input scenario; royalty = MIN(rate × NBV, cap).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</si>
  <si>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</si>
  <si>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</si>
  <si>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</si>
  <si>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</si>
  <si>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</si>
  <si>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</si>
  <si>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</si>
  <si>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</si>
  <si>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Net Benefit Value (NBV)</t>
  </si>
  <si>
    <t xml:space="preserve">Annual Licence Fee</t>
  </si>
  <si>
    <t xml:space="preserve">Deployment milestones</t>
  </si>
  <si>
    <t xml:space="preserve">0</t>
  </si>
  <si>
    <t xml:space="preserve">Royalty (capped)</t>
  </si>
  <si>
    <t xml:space="preserve">Total Licensor receipts</t>
  </si>
  <si>
    <t xml:space="preserve">Cumulative receipts</t>
  </si>
  <si>
    <t xml:space="preserve">7-year total receipts</t>
  </si>
  <si>
    <t xml:space="preserve">of which royalty (7 yrs)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</si>
</sst>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7" t="n">
        <v>4500000</v>
      </c>
    </row>
    <row r="7" customFormat="false" ht="15" hidden="false" customHeight="true" outlineLevel="0" collapsed="false">
      <c r="A7" s="6" t="s">
        <v>6</v>
      </c>
      <c r="B7" s="7" t="n">
        <v>950000</v>
      </c>
    </row>
    <row r="8" customFormat="false" ht="15" hidden="false" customHeight="true" outlineLevel="0" collapsed="false">
      <c r="A8" s="6" t="s">
        <v>7</v>
      </c>
      <c r="B8" s="7" t="n">
        <v>1000000</v>
      </c>
    </row>
    <row r="9" customFormat="false" ht="15" hidden="false" customHeight="true" outlineLevel="0" collapsed="false">
      <c r="A9" s="6" t="s">
        <v>8</v>
      </c>
      <c r="B9" s="8" t="n">
        <v>3</v>
      </c>
    </row>
    <row r="10" customFormat="false" ht="15" hidden="false" customHeight="true" outlineLevel="0" collapsed="false">
      <c r="A10" s="6" t="s">
        <v>9</v>
      </c>
      <c r="B10" s="9" t="n">
        <v>0.045</v>
      </c>
    </row>
    <row r="11" customFormat="false" ht="15" hidden="false" customHeight="true" outlineLevel="0" collapsed="false">
      <c r="A11" s="6" t="s">
        <v>10</v>
      </c>
      <c r="B11" s="7" t="n">
        <v>2000000</v>
      </c>
    </row>
    <row r="12" customFormat="false" ht="15" hidden="false" customHeight="true" outlineLevel="0" collapsed="false">
      <c r="A12" s="6" t="s">
        <v>11</v>
      </c>
      <c r="B12" s="7" t="n">
        <v>75000</v>
      </c>
    </row>
    <row r="13" customFormat="false" ht="15" hidden="false" customHeight="true" outlineLevel="0" collapsed="false">
      <c r="A13" s="6" t="s">
        <v>12</v>
      </c>
      <c r="B13" s="8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4" min="3" style="1" width="16"/>
  </cols>
  <sheetData>
    <row r="1" customFormat="false" ht="15.75" hidden="false" customHeight="true" outlineLevel="0" collapsed="false">
      <c r="A1" s="10" t="s">
        <v>13</v>
      </c>
    </row>
    <row r="3" customFormat="false" ht="15" hidden="false" customHeight="true" outlineLevel="0" collapsed="false">
      <c r="A3" s="11" t="s">
        <v>14</v>
      </c>
      <c r="B3" s="11" t="s">
        <v>15</v>
      </c>
      <c r="C3" s="11" t="s">
        <v>16</v>
      </c>
      <c r="D3" s="11" t="s">
        <v>17</v>
      </c>
    </row>
    <row r="4" customFormat="false" ht="15" hidden="false" customHeight="true" outlineLevel="0" collapsed="false">
      <c r="A4" s="6" t="s">
        <v>18</v>
      </c>
      <c r="B4" s="6" t="s">
        <v>19</v>
      </c>
      <c r="C4" s="6" t="s">
        <v>20</v>
      </c>
      <c r="D4" s="12" t="n">
        <f aca="false">Assumptions!B8</f>
        <v>1000000</v>
      </c>
    </row>
    <row r="5" customFormat="false" ht="15" hidden="false" customHeight="true" outlineLevel="0" collapsed="false">
      <c r="A5" s="6" t="s">
        <v>21</v>
      </c>
      <c r="B5" s="6" t="s">
        <v>22</v>
      </c>
      <c r="C5" s="6" t="s">
        <v>23</v>
      </c>
      <c r="D5" s="12" t="n">
        <f aca="false">Assumptions!B8</f>
        <v>1000000</v>
      </c>
    </row>
    <row r="6" customFormat="false" ht="15" hidden="false" customHeight="true" outlineLevel="0" collapsed="false">
      <c r="A6" s="6" t="s">
        <v>24</v>
      </c>
      <c r="B6" s="6" t="s">
        <v>25</v>
      </c>
      <c r="C6" s="6" t="s">
        <v>26</v>
      </c>
      <c r="D6" s="12" t="n">
        <f aca="false">Assumptions!B8</f>
        <v>1000000</v>
      </c>
    </row>
    <row r="7" customFormat="false" ht="15" hidden="false" customHeight="true" outlineLevel="0" collapsed="false">
      <c r="A7" s="13"/>
      <c r="B7" s="13"/>
      <c r="C7" s="14" t="s">
        <v>27</v>
      </c>
      <c r="D7" s="15" t="n">
        <f aca="false">SUM(D4:D6)</f>
        <v>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3"/>
  </cols>
  <sheetData>
    <row r="1" customFormat="false" ht="15.75" hidden="false" customHeight="true" outlineLevel="0" collapsed="false">
      <c r="A1" s="10" t="s">
        <v>28</v>
      </c>
    </row>
    <row r="2" customFormat="false" ht="15" hidden="false" customHeight="true" outlineLevel="0" collapsed="false">
      <c r="A2" s="4" t="s">
        <v>29</v>
      </c>
    </row>
    <row r="4" customFormat="false" ht="15" hidden="false" customHeight="true" outlineLevel="0" collapsed="false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</row>
    <row r="5" customFormat="false" ht="15" hidden="false" customHeight="true" outlineLevel="0" collapsed="false">
      <c r="A5" s="6" t="s">
        <v>38</v>
      </c>
      <c r="B5" s="7" t="n">
        <v>18000000</v>
      </c>
      <c r="C5" s="7" t="n">
        <v>32000000</v>
      </c>
      <c r="D5" s="7" t="n">
        <v>41000000</v>
      </c>
      <c r="E5" s="7" t="n">
        <v>46000000</v>
      </c>
      <c r="F5" s="7" t="n">
        <v>49000000</v>
      </c>
      <c r="G5" s="7" t="n">
        <v>51000000</v>
      </c>
      <c r="H5" s="7" t="n">
        <v>52000000</v>
      </c>
    </row>
    <row r="6" customFormat="false" ht="15" hidden="false" customHeight="true" outlineLevel="0" collapsed="false">
      <c r="A6" s="6" t="s">
        <v>5</v>
      </c>
      <c r="B6" s="12" t="n">
        <f aca="false">Assumptions!B6</f>
        <v>4500000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</row>
    <row r="7" customFormat="false" ht="15" hidden="false" customHeight="true" outlineLevel="0" collapsed="false">
      <c r="A7" s="6" t="s">
        <v>39</v>
      </c>
      <c r="B7" s="12" t="n">
        <f aca="false">Assumptions!B7</f>
        <v>950000</v>
      </c>
      <c r="C7" s="12" t="n">
        <f aca="false">Assumptions!B7</f>
        <v>950000</v>
      </c>
      <c r="D7" s="12" t="n">
        <f aca="false">Assumptions!B7</f>
        <v>950000</v>
      </c>
      <c r="E7" s="12" t="n">
        <f aca="false">Assumptions!B7</f>
        <v>950000</v>
      </c>
      <c r="F7" s="12" t="n">
        <f aca="false">Assumptions!B7</f>
        <v>950000</v>
      </c>
      <c r="G7" s="12" t="n">
        <f aca="false">Assumptions!B7</f>
        <v>950000</v>
      </c>
      <c r="H7" s="12" t="n">
        <f aca="false">Assumptions!B7</f>
        <v>950000</v>
      </c>
    </row>
    <row r="8" customFormat="false" ht="15" hidden="false" customHeight="true" outlineLevel="0" collapsed="false">
      <c r="A8" s="6" t="s">
        <v>40</v>
      </c>
      <c r="B8" s="12" t="n">
        <f aca="false">Milestones!D4+Milestones!D5</f>
        <v>2000000</v>
      </c>
      <c r="C8" s="12" t="n">
        <f aca="false">Milestones!D6</f>
        <v>1000000</v>
      </c>
      <c r="D8" s="12" t="s">
        <v>41</v>
      </c>
      <c r="E8" s="12" t="s">
        <v>41</v>
      </c>
      <c r="F8" s="12" t="s">
        <v>41</v>
      </c>
      <c r="G8" s="12" t="s">
        <v>41</v>
      </c>
      <c r="H8" s="12" t="s">
        <v>41</v>
      </c>
    </row>
    <row r="9" customFormat="false" ht="15" hidden="false" customHeight="true" outlineLevel="0" collapsed="false">
      <c r="A9" s="6" t="s">
        <v>42</v>
      </c>
      <c r="B9" s="12" t="n">
        <f aca="false">MIN(Assumptions!B10*B5,Assumptions!B11)</f>
        <v>810000</v>
      </c>
      <c r="C9" s="12" t="n">
        <f aca="false">MIN(Assumptions!B10*C5,Assumptions!B11)</f>
        <v>1440000</v>
      </c>
      <c r="D9" s="12" t="n">
        <f aca="false">MIN(Assumptions!B10*D5,Assumptions!B11)</f>
        <v>1845000</v>
      </c>
      <c r="E9" s="12" t="n">
        <f aca="false">MIN(Assumptions!B10*E5,Assumptions!B11)</f>
        <v>2000000</v>
      </c>
      <c r="F9" s="12" t="n">
        <f aca="false">MIN(Assumptions!B10*F5,Assumptions!B11)</f>
        <v>2000000</v>
      </c>
      <c r="G9" s="12" t="n">
        <f aca="false">MIN(Assumptions!B10*G5,Assumptions!B11)</f>
        <v>2000000</v>
      </c>
      <c r="H9" s="12" t="n">
        <f aca="false">MIN(Assumptions!B10*H5,Assumptions!B11)</f>
        <v>2000000</v>
      </c>
    </row>
    <row r="10" customFormat="false" ht="15" hidden="false" customHeight="true" outlineLevel="0" collapsed="false">
      <c r="A10" s="14" t="s">
        <v>43</v>
      </c>
      <c r="B10" s="16" t="n">
        <f aca="false">SUM(B6:B9)</f>
        <v>8260000</v>
      </c>
      <c r="C10" s="16" t="n">
        <f aca="false">SUM(C6:C9)</f>
        <v>3390000</v>
      </c>
      <c r="D10" s="16" t="n">
        <f aca="false">SUM(D6:D9)</f>
        <v>2795000</v>
      </c>
      <c r="E10" s="16" t="n">
        <f aca="false">SUM(E6:E9)</f>
        <v>2950000</v>
      </c>
      <c r="F10" s="16" t="n">
        <f aca="false">SUM(F6:F9)</f>
        <v>2950000</v>
      </c>
      <c r="G10" s="16" t="n">
        <f aca="false">SUM(G6:G9)</f>
        <v>2950000</v>
      </c>
      <c r="H10" s="16" t="n">
        <f aca="false">SUM(H6:H9)</f>
        <v>2950000</v>
      </c>
    </row>
    <row r="11" customFormat="false" ht="15" hidden="false" customHeight="true" outlineLevel="0" collapsed="false">
      <c r="A11" s="6" t="s">
        <v>44</v>
      </c>
      <c r="B11" s="12" t="n">
        <f aca="false">B10</f>
        <v>8260000</v>
      </c>
      <c r="C11" s="12" t="n">
        <f aca="false">B11+C10</f>
        <v>11650000</v>
      </c>
      <c r="D11" s="12" t="n">
        <f aca="false">C11+D10</f>
        <v>14445000</v>
      </c>
      <c r="E11" s="12" t="n">
        <f aca="false">D11+E10</f>
        <v>17395000</v>
      </c>
      <c r="F11" s="12" t="n">
        <f aca="false">E11+F10</f>
        <v>20345000</v>
      </c>
      <c r="G11" s="12" t="n">
        <f aca="false">F11+G10</f>
        <v>23295000</v>
      </c>
      <c r="H11" s="12" t="n">
        <f aca="false">G11+H10</f>
        <v>26245000</v>
      </c>
    </row>
    <row r="13" customFormat="false" ht="15" hidden="false" customHeight="true" outlineLevel="0" collapsed="false">
      <c r="A13" s="17" t="s">
        <v>45</v>
      </c>
      <c r="B13" s="18" t="n">
        <f aca="false">H11</f>
        <v>26245000</v>
      </c>
    </row>
    <row r="14" customFormat="false" ht="15" hidden="false" customHeight="true" outlineLevel="0" collapsed="false">
      <c r="A14" s="19" t="s">
        <v>46</v>
      </c>
      <c r="B14" s="20" t="n">
        <f aca="false">SUM(B9:H9)</f>
        <v>12095000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2026-06-26T13:25:18Z</dcterms:created>
  <dc:creator>openpyxl</dc:creator>
  <dc:description/>
  <dc:language>en-US</dc:language>
  <cp:lastModifiedBy/>
  <dcterms:modified xsi:type="dcterms:W3CDTF">2026-06-26T13:25:45Z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