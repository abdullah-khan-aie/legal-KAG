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tt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<sst xmlns="http://schemas.openxmlformats.org/spreadsheetml/2006/main" count="39" uniqueCount="39">
  <si>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PENROSE ROBOTICS LIMITED v CALDERVALE DISTRIBUTION LIMITED – SCOTT SCHEDULE</t>
  </si>
  <si>
    <t xml:space="preserve">Claim No. CL-2025-000287  |  Sums claimed and counterclaimed  |  Claimant's columns served 23 Jan 2026</t>
  </si>
  <si>
    <t xml:space="preserve">Item</t>
  </si>
  <si>
    <t xml:space="preserve">Issue / head</t>
  </si>
  <si>
    <t xml:space="preserve">Claimant £</t>
  </si>
  <si>
    <t xml:space="preserve">Claimant's case</t>
  </si>
  <si>
    <t xml:space="preserve">Defendant £</t>
  </si>
  <si>
    <t xml:space="preserve">Defendant's response</t>
  </si>
  <si>
    <t xml:space="preserve">Court (TBC)</t>
  </si>
  <si>
    <t xml:space="preserve">C1</t>
  </si>
  <si>
    <t xml:space="preserve">Unpaid Milestone 4</t>
  </si>
  <si>
    <t xml:space="preserve">Due as debt; no valid acceptance test occurred because Caldervale frustrated the Sch.5 conditions.</t>
  </si>
  <si>
    <t xml:space="preserve">Not due; Milestone 4 conditional on System Acceptance which never occurred.</t>
  </si>
  <si>
    <t xml:space="preserve">C2</t>
  </si>
  <si>
    <t xml:space="preserve">Unpaid integration tranche</t>
  </si>
  <si>
    <t xml:space="preserve">Due on integration sign-off, which was achieved.</t>
  </si>
  <si>
    <t xml:space="preserve">Not due; integration not completed to standard.</t>
  </si>
  <si>
    <t xml:space="preserve">C3</t>
  </si>
  <si>
    <t xml:space="preserve">Loss of maintenance revenue</t>
  </si>
  <si>
    <t xml:space="preserve">Lost five-year maintenance stream caused by Caldervale's wrongful termination.</t>
  </si>
  <si>
    <t xml:space="preserve">Denied; termination was lawful.</t>
  </si>
  <si>
    <t xml:space="preserve">C4</t>
  </si>
  <si>
    <t xml:space="preserve">Wasted / demobilisation costs</t>
  </si>
  <si>
    <t xml:space="preserve">Reasonable costs of standing down deployment team on repudiation.</t>
  </si>
  <si>
    <t xml:space="preserve">Denied; not caused by Defendant.</t>
  </si>
  <si>
    <t xml:space="preserve">D1</t>
  </si>
  <si>
    <t xml:space="preserve">Peak-season lost margin &amp; agency labour</t>
  </si>
  <si>
    <t xml:space="preserve">Caused by Caldervale's own data/hosting failures, not the System.</t>
  </si>
  <si>
    <t xml:space="preserve">Lost margin and additional labour over 2024 peak due to System underperformance.</t>
  </si>
  <si>
    <t xml:space="preserve">D2</t>
  </si>
  <si>
    <t xml:space="preserve">Remediation &amp; re-slotting</t>
  </si>
  <si>
    <t xml:space="preserve">Re-slotting reflects correction of Caldervale's own SKU data.</t>
  </si>
  <si>
    <t xml:space="preserve">Cost of remediating and re-slotting after System failure.</t>
  </si>
  <si>
    <t xml:space="preserve">D3</t>
  </si>
  <si>
    <t xml:space="preserve">Replacement system procurement</t>
  </si>
  <si>
    <t xml:space="preserve">Betterment; system was capable; mitigation unreasonable.</t>
  </si>
  <si>
    <t xml:space="preserve">Cost of procuring replacement fulfilment system.</t>
  </si>
  <si>
    <t xml:space="preserve">TOTAL CLAIM</t>
  </si>
  <si>
    <t xml:space="preserve">TOTAL COUNTERCLAIM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</si>
</sst>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40"/>
    <col collapsed="false" customWidth="true" hidden="false" outlineLevel="0" max="5" min="5" style="1" width="15"/>
    <col collapsed="false" customWidth="true" hidden="false" outlineLevel="0" max="6" min="6" style="1" width="40"/>
    <col collapsed="false" customWidth="true" hidden="false" outlineLevel="0" max="7" min="7" style="1" width="1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</row>
    <row r="5" customFormat="false" ht="35.05" hidden="false" customHeight="false" outlineLevel="0" collapsed="false">
      <c r="A5" s="6" t="s">
        <v>9</v>
      </c>
      <c r="B5" s="7" t="s">
        <v>10</v>
      </c>
      <c r="C5" s="8" t="n">
        <v>1275000</v>
      </c>
      <c r="D5" s="7" t="s">
        <v>11</v>
      </c>
      <c r="E5" s="8"/>
      <c r="F5" s="7" t="s">
        <v>12</v>
      </c>
      <c r="G5" s="8"/>
    </row>
    <row r="6" customFormat="false" ht="15" hidden="false" customHeight="false" outlineLevel="0" collapsed="false">
      <c r="A6" s="6" t="s">
        <v>13</v>
      </c>
      <c r="B6" s="7" t="s">
        <v>14</v>
      </c>
      <c r="C6" s="8" t="n">
        <v>162500</v>
      </c>
      <c r="D6" s="7" t="s">
        <v>15</v>
      </c>
      <c r="E6" s="8"/>
      <c r="F6" s="7" t="s">
        <v>16</v>
      </c>
      <c r="G6" s="8"/>
    </row>
    <row r="7" customFormat="false" ht="23.85" hidden="false" customHeight="false" outlineLevel="0" collapsed="false">
      <c r="A7" s="6" t="s">
        <v>17</v>
      </c>
      <c r="B7" s="7" t="s">
        <v>18</v>
      </c>
      <c r="C7" s="8" t="n">
        <v>427000</v>
      </c>
      <c r="D7" s="7" t="s">
        <v>19</v>
      </c>
      <c r="E7" s="8"/>
      <c r="F7" s="7" t="s">
        <v>20</v>
      </c>
      <c r="G7" s="8"/>
    </row>
    <row r="8" customFormat="false" ht="23.85" hidden="false" customHeight="false" outlineLevel="0" collapsed="false">
      <c r="A8" s="6" t="s">
        <v>21</v>
      </c>
      <c r="B8" s="7" t="s">
        <v>22</v>
      </c>
      <c r="C8" s="8" t="n">
        <v>146000</v>
      </c>
      <c r="D8" s="7" t="s">
        <v>23</v>
      </c>
      <c r="E8" s="8"/>
      <c r="F8" s="7" t="s">
        <v>24</v>
      </c>
      <c r="G8" s="8"/>
    </row>
    <row r="9" customFormat="false" ht="23.85" hidden="false" customHeight="false" outlineLevel="0" collapsed="false">
      <c r="A9" s="6" t="s">
        <v>25</v>
      </c>
      <c r="B9" s="7" t="s">
        <v>26</v>
      </c>
      <c r="C9" s="8"/>
      <c r="D9" s="7" t="s">
        <v>27</v>
      </c>
      <c r="E9" s="8" t="n">
        <v>1180000</v>
      </c>
      <c r="F9" s="7" t="s">
        <v>28</v>
      </c>
      <c r="G9" s="8"/>
    </row>
    <row r="10" customFormat="false" ht="23.85" hidden="false" customHeight="false" outlineLevel="0" collapsed="false">
      <c r="A10" s="6" t="s">
        <v>29</v>
      </c>
      <c r="B10" s="7" t="s">
        <v>30</v>
      </c>
      <c r="C10" s="8"/>
      <c r="D10" s="7" t="s">
        <v>31</v>
      </c>
      <c r="E10" s="8" t="n">
        <v>265000</v>
      </c>
      <c r="F10" s="7" t="s">
        <v>32</v>
      </c>
      <c r="G10" s="8"/>
    </row>
    <row r="11" customFormat="false" ht="23.85" hidden="false" customHeight="false" outlineLevel="0" collapsed="false">
      <c r="A11" s="6" t="s">
        <v>33</v>
      </c>
      <c r="B11" s="7" t="s">
        <v>34</v>
      </c>
      <c r="C11" s="8"/>
      <c r="D11" s="7" t="s">
        <v>35</v>
      </c>
      <c r="E11" s="8" t="n">
        <v>655000</v>
      </c>
      <c r="F11" s="7" t="s">
        <v>36</v>
      </c>
      <c r="G11" s="8"/>
    </row>
    <row r="12" customFormat="false" ht="15" hidden="false" customHeight="false" outlineLevel="0" collapsed="false">
      <c r="A12" s="9"/>
      <c r="B12" s="10" t="s">
        <v>37</v>
      </c>
      <c r="C12" s="11" t="n">
        <f aca="false">SUM(C5:C8)</f>
        <v>2010500</v>
      </c>
      <c r="D12" s="12"/>
      <c r="E12" s="13"/>
      <c r="F12" s="12"/>
      <c r="G12" s="13"/>
    </row>
    <row r="13" customFormat="false" ht="15" hidden="false" customHeight="false" outlineLevel="0" collapsed="false">
      <c r="A13" s="9"/>
      <c r="B13" s="10" t="s">
        <v>38</v>
      </c>
      <c r="C13" s="13"/>
      <c r="D13" s="12"/>
      <c r="E13" s="11" t="n">
        <f aca="false">SUM(E5:E11)</f>
        <v>2100000</v>
      </c>
      <c r="F13" s="12"/>
      <c r="G13" s="1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2026-06-29T12:59:21Z</dcterms:created>
  <dc:creator>openpyxl</dc:creator>
  <dc:description/>
  <dc:language>en-US</dc:language>
  <cp:lastModifiedBy/>
  <dcterms:modified xsi:type="dcterms:W3CDTF">2026-06-29T12:59:21Z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