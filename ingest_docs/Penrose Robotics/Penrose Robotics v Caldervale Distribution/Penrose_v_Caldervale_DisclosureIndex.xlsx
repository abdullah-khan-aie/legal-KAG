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closure Index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<sst xmlns="http://schemas.openxmlformats.org/spreadsheetml/2006/main" count="144" uniqueCount="105">
  <si>
    <t xml:space="preserve">PENROSE ROBOTICS LIMITED v CALDERVALE DISTRIBUTION LIMITED – DISCLOSURE INDEX (Claimant's List)</t>
  </si>
  <si>
    <t xml:space="preserve">Claim No. CL-2025-000287  |  Model C Extended Disclosure  |  Prepared 5 December 2025</t>
  </si>
  <si>
    <t xml:space="preserve">Doc ID</t>
  </si>
  <si>
    <t xml:space="preserve">Date</t>
  </si>
  <si>
    <t xml:space="preserve">Description</t>
  </si>
  <si>
    <t xml:space="preserve">Type</t>
  </si>
  <si>
    <t xml:space="preserve">Privilege</t>
  </si>
  <si>
    <t xml:space="preserve">Disclosed by</t>
  </si>
  <si>
    <t xml:space="preserve">Bundle ref</t>
  </si>
  <si>
    <t xml:space="preserve">PR-001</t>
  </si>
  <si>
    <t xml:space="preserve">2024-01-22</t>
  </si>
  <si>
    <t xml:space="preserve">System Supply, Integration &amp; Maintenance Agreement</t>
  </si>
  <si>
    <t xml:space="preserve">Contract</t>
  </si>
  <si>
    <t xml:space="preserve">No</t>
  </si>
  <si>
    <t xml:space="preserve">Claimant</t>
  </si>
  <si>
    <t xml:space="preserve">A/1-58</t>
  </si>
  <si>
    <t xml:space="preserve">PR-002</t>
  </si>
  <si>
    <t xml:space="preserve">Agreement Schedules 1-6 (incl. Sch.4 acceptance, Sch.5 host spec)</t>
  </si>
  <si>
    <t xml:space="preserve">Contract sch.</t>
  </si>
  <si>
    <t xml:space="preserve">A/59-96</t>
  </si>
  <si>
    <t xml:space="preserve">PR-003</t>
  </si>
  <si>
    <t xml:space="preserve">2024-02-06</t>
  </si>
  <si>
    <t xml:space="preserve">Kick-off workshop minutes &amp; dependency walkthrough</t>
  </si>
  <si>
    <t xml:space="preserve">Minutes</t>
  </si>
  <si>
    <t xml:space="preserve">A/97-104</t>
  </si>
  <si>
    <t xml:space="preserve">PR-004</t>
  </si>
  <si>
    <t xml:space="preserve">2024-08-30</t>
  </si>
  <si>
    <t xml:space="preserve">Delivery note – 84 AMRs &amp; infrastructure</t>
  </si>
  <si>
    <t xml:space="preserve">Delivery note</t>
  </si>
  <si>
    <t xml:space="preserve">B/1-3</t>
  </si>
  <si>
    <t xml:space="preserve">PR-005</t>
  </si>
  <si>
    <t xml:space="preserve">2024-09-18</t>
  </si>
  <si>
    <t xml:space="preserve">Caldervale SKU master &amp; slotting dataset (as supplied)</t>
  </si>
  <si>
    <t xml:space="preserve">Data file</t>
  </si>
  <si>
    <t xml:space="preserve">Defendant</t>
  </si>
  <si>
    <t xml:space="preserve">B/4-9</t>
  </si>
  <si>
    <t xml:space="preserve">PR-006</t>
  </si>
  <si>
    <t xml:space="preserve">2024-09-20</t>
  </si>
  <si>
    <t xml:space="preserve">Penrose data-quality notification (22% SKU errors)</t>
  </si>
  <si>
    <t xml:space="preserve">Email</t>
  </si>
  <si>
    <t xml:space="preserve">B/10-12</t>
  </si>
  <si>
    <t xml:space="preserve">PR-007</t>
  </si>
  <si>
    <t xml:space="preserve">2024-10-07</t>
  </si>
  <si>
    <t xml:space="preserve">OrchestraOS acceptance-test logs (7 Oct–1 Nov 2024)</t>
  </si>
  <si>
    <t xml:space="preserve">System logs</t>
  </si>
  <si>
    <t xml:space="preserve">C/1-220</t>
  </si>
  <si>
    <t xml:space="preserve">PR-008</t>
  </si>
  <si>
    <t xml:space="preserve">2024-10-09</t>
  </si>
  <si>
    <t xml:space="preserve">Host-latency call note (31ms vs sub-5ms spec)</t>
  </si>
  <si>
    <t xml:space="preserve">Note</t>
  </si>
  <si>
    <t xml:space="preserve">C/221-223</t>
  </si>
  <si>
    <t xml:space="preserve">PR-009</t>
  </si>
  <si>
    <t xml:space="preserve">2024-10-21</t>
  </si>
  <si>
    <t xml:space="preserve">Promotional campaign launch – order profile records</t>
  </si>
  <si>
    <t xml:space="preserve">Operational</t>
  </si>
  <si>
    <t xml:space="preserve">C/224-240</t>
  </si>
  <si>
    <t xml:space="preserve">PR-010</t>
  </si>
  <si>
    <t xml:space="preserve">2024-10-31</t>
  </si>
  <si>
    <t xml:space="preserve">Invoice PR-2024-0418 (Milestone 4, £1,275,000)</t>
  </si>
  <si>
    <t xml:space="preserve">Invoice</t>
  </si>
  <si>
    <t xml:space="preserve">D/1</t>
  </si>
  <si>
    <t xml:space="preserve">PR-011</t>
  </si>
  <si>
    <t xml:space="preserve">2024-11-15</t>
  </si>
  <si>
    <t xml:space="preserve">Invoice PR-2024-0427 (integration, £162,500)</t>
  </si>
  <si>
    <t xml:space="preserve">D/2</t>
  </si>
  <si>
    <t xml:space="preserve">PR-012</t>
  </si>
  <si>
    <t xml:space="preserve">2025-02-07</t>
  </si>
  <si>
    <t xml:space="preserve">Caldervale termination letter</t>
  </si>
  <si>
    <t xml:space="preserve">Correspondence</t>
  </si>
  <si>
    <t xml:space="preserve">D/3-5</t>
  </si>
  <si>
    <t xml:space="preserve">PR-013</t>
  </si>
  <si>
    <t xml:space="preserve">2025-02-24</t>
  </si>
  <si>
    <t xml:space="preserve">Penrose acceptance of repudiation</t>
  </si>
  <si>
    <t xml:space="preserve">D/6-7</t>
  </si>
  <si>
    <t xml:space="preserve">PR-014</t>
  </si>
  <si>
    <t xml:space="preserve">2025-03-10</t>
  </si>
  <si>
    <t xml:space="preserve">Letter before action (Whitfield Carter)</t>
  </si>
  <si>
    <t xml:space="preserve">D/8-15</t>
  </si>
  <si>
    <t xml:space="preserve">PR-015</t>
  </si>
  <si>
    <t xml:space="preserve">2025-04-07</t>
  </si>
  <si>
    <t xml:space="preserve">Marlowe Greaves letter of response</t>
  </si>
  <si>
    <t xml:space="preserve">D/16-19</t>
  </si>
  <si>
    <t xml:space="preserve">PR-016</t>
  </si>
  <si>
    <t xml:space="preserve">2025-04-30</t>
  </si>
  <si>
    <t xml:space="preserve">Counsel's advice on merits (Stanford)</t>
  </si>
  <si>
    <t xml:space="preserve">Advice</t>
  </si>
  <si>
    <t xml:space="preserve">Yes – LPP</t>
  </si>
  <si>
    <t xml:space="preserve">Withheld</t>
  </si>
  <si>
    <t xml:space="preserve">-</t>
  </si>
  <si>
    <t xml:space="preserve">PR-017</t>
  </si>
  <si>
    <t xml:space="preserve">2025-09-26</t>
  </si>
  <si>
    <t xml:space="preserve">Expert report – Dr A. Holloway</t>
  </si>
  <si>
    <t xml:space="preserve">Expert</t>
  </si>
  <si>
    <t xml:space="preserve">E/1-44</t>
  </si>
  <si>
    <t xml:space="preserve">PR-018</t>
  </si>
  <si>
    <t xml:space="preserve">2024-10</t>
  </si>
  <si>
    <t xml:space="preserve">Host-environment monitoring data (latency telemetry)</t>
  </si>
  <si>
    <t xml:space="preserve">C/241-300</t>
  </si>
  <si>
    <t xml:space="preserve">PR-019</t>
  </si>
  <si>
    <t xml:space="preserve">2024-2025</t>
  </si>
  <si>
    <t xml:space="preserve">Internal Penrose cost &amp; demobilisation records</t>
  </si>
  <si>
    <t xml:space="preserve">Financial</t>
  </si>
  <si>
    <t xml:space="preserve">F/1-30</t>
  </si>
  <si>
    <t xml:space="preserve">Total documents listed:</t>
  </si>
  <si>
    <t xml:space="preserve">Documents withheld for privilege: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</si>
</sst>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3"/>
    <col collapsed="false" customWidth="true" hidden="false" outlineLevel="0" max="3" min="3" style="1" width="40"/>
    <col collapsed="false" customWidth="true" hidden="false" outlineLevel="0" max="4" min="4" style="1" width="18"/>
    <col collapsed="false" customWidth="true" hidden="false" outlineLevel="0" max="5" min="5" style="1" width="13"/>
    <col collapsed="false" customWidth="true" hidden="false" outlineLevel="0" max="6" min="6" style="1" width="15"/>
    <col collapsed="false" customWidth="true" hidden="false" outlineLevel="0" max="7" min="7" style="1" width="16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23.85" hidden="false" customHeight="false" outlineLevel="0" collapsed="false">
      <c r="A5" s="5" t="s">
        <v>9</v>
      </c>
      <c r="B5" s="5" t="s">
        <v>10</v>
      </c>
      <c r="C5" s="6" t="s">
        <v>11</v>
      </c>
      <c r="D5" s="6" t="s">
        <v>12</v>
      </c>
      <c r="E5" s="5" t="s">
        <v>13</v>
      </c>
      <c r="F5" s="5" t="s">
        <v>14</v>
      </c>
      <c r="G5" s="5" t="s">
        <v>15</v>
      </c>
    </row>
    <row r="6" customFormat="false" ht="23.85" hidden="false" customHeight="false" outlineLevel="0" collapsed="false">
      <c r="A6" s="5" t="s">
        <v>16</v>
      </c>
      <c r="B6" s="5" t="s">
        <v>10</v>
      </c>
      <c r="C6" s="6" t="s">
        <v>17</v>
      </c>
      <c r="D6" s="6" t="s">
        <v>18</v>
      </c>
      <c r="E6" s="5" t="s">
        <v>13</v>
      </c>
      <c r="F6" s="5" t="s">
        <v>14</v>
      </c>
      <c r="G6" s="5" t="s">
        <v>19</v>
      </c>
    </row>
    <row r="7" customFormat="false" ht="23.85" hidden="false" customHeight="false" outlineLevel="0" collapsed="false">
      <c r="A7" s="5" t="s">
        <v>20</v>
      </c>
      <c r="B7" s="5" t="s">
        <v>21</v>
      </c>
      <c r="C7" s="6" t="s">
        <v>22</v>
      </c>
      <c r="D7" s="6" t="s">
        <v>23</v>
      </c>
      <c r="E7" s="5" t="s">
        <v>13</v>
      </c>
      <c r="F7" s="5" t="s">
        <v>14</v>
      </c>
      <c r="G7" s="5" t="s">
        <v>24</v>
      </c>
    </row>
    <row r="8" customFormat="false" ht="15" hidden="false" customHeight="false" outlineLevel="0" collapsed="false">
      <c r="A8" s="5" t="s">
        <v>25</v>
      </c>
      <c r="B8" s="5" t="s">
        <v>26</v>
      </c>
      <c r="C8" s="6" t="s">
        <v>27</v>
      </c>
      <c r="D8" s="6" t="s">
        <v>28</v>
      </c>
      <c r="E8" s="5" t="s">
        <v>13</v>
      </c>
      <c r="F8" s="5" t="s">
        <v>14</v>
      </c>
      <c r="G8" s="5" t="s">
        <v>29</v>
      </c>
    </row>
    <row r="9" customFormat="false" ht="23.85" hidden="false" customHeight="false" outlineLevel="0" collapsed="false">
      <c r="A9" s="5" t="s">
        <v>30</v>
      </c>
      <c r="B9" s="5" t="s">
        <v>31</v>
      </c>
      <c r="C9" s="6" t="s">
        <v>32</v>
      </c>
      <c r="D9" s="6" t="s">
        <v>33</v>
      </c>
      <c r="E9" s="5" t="s">
        <v>13</v>
      </c>
      <c r="F9" s="5" t="s">
        <v>34</v>
      </c>
      <c r="G9" s="5" t="s">
        <v>35</v>
      </c>
    </row>
    <row r="10" customFormat="false" ht="23.85" hidden="false" customHeight="false" outlineLevel="0" collapsed="false">
      <c r="A10" s="5" t="s">
        <v>36</v>
      </c>
      <c r="B10" s="5" t="s">
        <v>37</v>
      </c>
      <c r="C10" s="6" t="s">
        <v>38</v>
      </c>
      <c r="D10" s="6" t="s">
        <v>39</v>
      </c>
      <c r="E10" s="5" t="s">
        <v>13</v>
      </c>
      <c r="F10" s="5" t="s">
        <v>14</v>
      </c>
      <c r="G10" s="5" t="s">
        <v>40</v>
      </c>
    </row>
    <row r="11" customFormat="false" ht="23.85" hidden="false" customHeight="false" outlineLevel="0" collapsed="false">
      <c r="A11" s="5" t="s">
        <v>41</v>
      </c>
      <c r="B11" s="5" t="s">
        <v>42</v>
      </c>
      <c r="C11" s="6" t="s">
        <v>43</v>
      </c>
      <c r="D11" s="6" t="s">
        <v>44</v>
      </c>
      <c r="E11" s="5" t="s">
        <v>13</v>
      </c>
      <c r="F11" s="5" t="s">
        <v>14</v>
      </c>
      <c r="G11" s="5" t="s">
        <v>45</v>
      </c>
    </row>
    <row r="12" customFormat="false" ht="15" hidden="false" customHeight="false" outlineLevel="0" collapsed="false">
      <c r="A12" s="5" t="s">
        <v>46</v>
      </c>
      <c r="B12" s="5" t="s">
        <v>47</v>
      </c>
      <c r="C12" s="6" t="s">
        <v>48</v>
      </c>
      <c r="D12" s="6" t="s">
        <v>49</v>
      </c>
      <c r="E12" s="5" t="s">
        <v>13</v>
      </c>
      <c r="F12" s="5" t="s">
        <v>14</v>
      </c>
      <c r="G12" s="5" t="s">
        <v>50</v>
      </c>
    </row>
    <row r="13" customFormat="false" ht="23.85" hidden="false" customHeight="false" outlineLevel="0" collapsed="false">
      <c r="A13" s="5" t="s">
        <v>51</v>
      </c>
      <c r="B13" s="5" t="s">
        <v>52</v>
      </c>
      <c r="C13" s="6" t="s">
        <v>53</v>
      </c>
      <c r="D13" s="6" t="s">
        <v>54</v>
      </c>
      <c r="E13" s="5" t="s">
        <v>13</v>
      </c>
      <c r="F13" s="5" t="s">
        <v>34</v>
      </c>
      <c r="G13" s="5" t="s">
        <v>55</v>
      </c>
    </row>
    <row r="14" customFormat="false" ht="15" hidden="false" customHeight="false" outlineLevel="0" collapsed="false">
      <c r="A14" s="5" t="s">
        <v>56</v>
      </c>
      <c r="B14" s="5" t="s">
        <v>57</v>
      </c>
      <c r="C14" s="6" t="s">
        <v>58</v>
      </c>
      <c r="D14" s="6" t="s">
        <v>59</v>
      </c>
      <c r="E14" s="5" t="s">
        <v>13</v>
      </c>
      <c r="F14" s="5" t="s">
        <v>14</v>
      </c>
      <c r="G14" s="5" t="s">
        <v>60</v>
      </c>
    </row>
    <row r="15" customFormat="false" ht="15" hidden="false" customHeight="false" outlineLevel="0" collapsed="false">
      <c r="A15" s="5" t="s">
        <v>61</v>
      </c>
      <c r="B15" s="5" t="s">
        <v>62</v>
      </c>
      <c r="C15" s="6" t="s">
        <v>63</v>
      </c>
      <c r="D15" s="6" t="s">
        <v>59</v>
      </c>
      <c r="E15" s="5" t="s">
        <v>13</v>
      </c>
      <c r="F15" s="5" t="s">
        <v>14</v>
      </c>
      <c r="G15" s="5" t="s">
        <v>64</v>
      </c>
    </row>
    <row r="16" customFormat="false" ht="15" hidden="false" customHeight="false" outlineLevel="0" collapsed="false">
      <c r="A16" s="5" t="s">
        <v>65</v>
      </c>
      <c r="B16" s="5" t="s">
        <v>66</v>
      </c>
      <c r="C16" s="6" t="s">
        <v>67</v>
      </c>
      <c r="D16" s="6" t="s">
        <v>68</v>
      </c>
      <c r="E16" s="5" t="s">
        <v>13</v>
      </c>
      <c r="F16" s="5" t="s">
        <v>34</v>
      </c>
      <c r="G16" s="5" t="s">
        <v>69</v>
      </c>
    </row>
    <row r="17" customFormat="false" ht="15" hidden="false" customHeight="false" outlineLevel="0" collapsed="false">
      <c r="A17" s="5" t="s">
        <v>70</v>
      </c>
      <c r="B17" s="5" t="s">
        <v>71</v>
      </c>
      <c r="C17" s="6" t="s">
        <v>72</v>
      </c>
      <c r="D17" s="6" t="s">
        <v>68</v>
      </c>
      <c r="E17" s="5" t="s">
        <v>13</v>
      </c>
      <c r="F17" s="5" t="s">
        <v>14</v>
      </c>
      <c r="G17" s="5" t="s">
        <v>73</v>
      </c>
    </row>
    <row r="18" customFormat="false" ht="15" hidden="false" customHeight="false" outlineLevel="0" collapsed="false">
      <c r="A18" s="5" t="s">
        <v>74</v>
      </c>
      <c r="B18" s="5" t="s">
        <v>75</v>
      </c>
      <c r="C18" s="6" t="s">
        <v>76</v>
      </c>
      <c r="D18" s="6" t="s">
        <v>68</v>
      </c>
      <c r="E18" s="5" t="s">
        <v>13</v>
      </c>
      <c r="F18" s="5" t="s">
        <v>14</v>
      </c>
      <c r="G18" s="5" t="s">
        <v>77</v>
      </c>
    </row>
    <row r="19" customFormat="false" ht="15" hidden="false" customHeight="false" outlineLevel="0" collapsed="false">
      <c r="A19" s="5" t="s">
        <v>78</v>
      </c>
      <c r="B19" s="5" t="s">
        <v>79</v>
      </c>
      <c r="C19" s="6" t="s">
        <v>80</v>
      </c>
      <c r="D19" s="6" t="s">
        <v>68</v>
      </c>
      <c r="E19" s="5" t="s">
        <v>13</v>
      </c>
      <c r="F19" s="5" t="s">
        <v>34</v>
      </c>
      <c r="G19" s="5" t="s">
        <v>81</v>
      </c>
    </row>
    <row r="20" customFormat="false" ht="15" hidden="false" customHeight="false" outlineLevel="0" collapsed="false">
      <c r="A20" s="5" t="s">
        <v>82</v>
      </c>
      <c r="B20" s="5" t="s">
        <v>83</v>
      </c>
      <c r="C20" s="6" t="s">
        <v>84</v>
      </c>
      <c r="D20" s="6" t="s">
        <v>85</v>
      </c>
      <c r="E20" s="5" t="s">
        <v>86</v>
      </c>
      <c r="F20" s="5" t="s">
        <v>87</v>
      </c>
      <c r="G20" s="5" t="s">
        <v>88</v>
      </c>
    </row>
    <row r="21" customFormat="false" ht="15" hidden="false" customHeight="false" outlineLevel="0" collapsed="false">
      <c r="A21" s="5" t="s">
        <v>89</v>
      </c>
      <c r="B21" s="5" t="s">
        <v>90</v>
      </c>
      <c r="C21" s="6" t="s">
        <v>91</v>
      </c>
      <c r="D21" s="6" t="s">
        <v>92</v>
      </c>
      <c r="E21" s="5" t="s">
        <v>13</v>
      </c>
      <c r="F21" s="5" t="s">
        <v>14</v>
      </c>
      <c r="G21" s="5" t="s">
        <v>93</v>
      </c>
    </row>
    <row r="22" customFormat="false" ht="23.85" hidden="false" customHeight="false" outlineLevel="0" collapsed="false">
      <c r="A22" s="5" t="s">
        <v>94</v>
      </c>
      <c r="B22" s="5" t="s">
        <v>95</v>
      </c>
      <c r="C22" s="6" t="s">
        <v>96</v>
      </c>
      <c r="D22" s="6" t="s">
        <v>33</v>
      </c>
      <c r="E22" s="5" t="s">
        <v>13</v>
      </c>
      <c r="F22" s="5" t="s">
        <v>34</v>
      </c>
      <c r="G22" s="5" t="s">
        <v>97</v>
      </c>
    </row>
    <row r="23" customFormat="false" ht="15" hidden="false" customHeight="false" outlineLevel="0" collapsed="false">
      <c r="A23" s="5" t="s">
        <v>98</v>
      </c>
      <c r="B23" s="5" t="s">
        <v>99</v>
      </c>
      <c r="C23" s="6" t="s">
        <v>100</v>
      </c>
      <c r="D23" s="6" t="s">
        <v>101</v>
      </c>
      <c r="E23" s="5" t="s">
        <v>13</v>
      </c>
      <c r="F23" s="5" t="s">
        <v>14</v>
      </c>
      <c r="G23" s="5" t="s">
        <v>102</v>
      </c>
    </row>
    <row r="25" customFormat="false" ht="15" hidden="false" customHeight="false" outlineLevel="0" collapsed="false">
      <c r="C25" s="7" t="s">
        <v>103</v>
      </c>
      <c r="D25" s="8" t="n">
        <f aca="false">COUNTA(A5:A23)</f>
        <v>19</v>
      </c>
    </row>
    <row r="26" customFormat="false" ht="15" hidden="false" customHeight="false" outlineLevel="0" collapsed="false">
      <c r="C26" s="7" t="s">
        <v>104</v>
      </c>
      <c r="D26" s="8" t="n">
        <f aca="false">COUNTIF(E5:E23,"Yes*")</f>
        <v>1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2026-06-29T12:59:21Z</dcterms:created>
  <dc:creator>openpyxl</dc:creator>
  <dc:description/>
  <dc:language>en-US</dc:language>
  <cp:lastModifiedBy/>
  <dcterms:modified xsi:type="dcterms:W3CDTF">2026-06-29T12:59:21Z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