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<sst xmlns="http://schemas.openxmlformats.org/spreadsheetml/2006/main" count="33" uniqueCount="31">
  <si>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PENROSE ROBOTICS LIMITED v CALDERVALE DISTRIBUTION LIMITED</t>
  </si>
  <si>
    <t xml:space="preserve">Claim No. CL-2025-000287  |  SCHEDULE OF LOSS (Claimant)  |  As served 12 May 2025</t>
  </si>
  <si>
    <t xml:space="preserve">Item</t>
  </si>
  <si>
    <t xml:space="preserve">Head of loss</t>
  </si>
  <si>
    <t xml:space="preserve">Amount (£)</t>
  </si>
  <si>
    <t xml:space="preserve">Interest?</t>
  </si>
  <si>
    <t xml:space="preserve">Basis / source</t>
  </si>
  <si>
    <t xml:space="preserve">1</t>
  </si>
  <si>
    <t xml:space="preserve">Unpaid Milestone 4 (System Acceptance) – invoice PR-2024-0418 (31 Oct 2024)</t>
  </si>
  <si>
    <t xml:space="preserve">Yes</t>
  </si>
  <si>
    <t xml:space="preserve">Agreement cl.12 &amp; Sch.3; invoice PR-2024-0418</t>
  </si>
  <si>
    <t xml:space="preserve">2</t>
  </si>
  <si>
    <t xml:space="preserve">Unpaid final integration tranche – invoice PR-2024-0427 (15 Nov 2024)</t>
  </si>
  <si>
    <t xml:space="preserve">Agreement cl.12 &amp; Sch.3; invoice PR-2024-0427</t>
  </si>
  <si>
    <t xml:space="preserve">Sub-total: debt / Outstanding Sums</t>
  </si>
  <si>
    <t xml:space="preserve">3</t>
  </si>
  <si>
    <t xml:space="preserve">Loss of maintenance &amp; support revenue, unexpired term (5 yrs less elapsed)</t>
  </si>
  <si>
    <t xml:space="preserve">No</t>
  </si>
  <si>
    <t xml:space="preserve">Agreement Sch.3 maintenance fee; CEO statement</t>
  </si>
  <si>
    <t xml:space="preserve">4</t>
  </si>
  <si>
    <t xml:space="preserve">Wasted deployment &amp; demobilisation costs (engineering team, logistics)</t>
  </si>
  <si>
    <t xml:space="preserve">Internal cost records; CTO statement</t>
  </si>
  <si>
    <t xml:space="preserve">Sub-total: damages</t>
  </si>
  <si>
    <t xml:space="preserve">TOTAL CLAIM (excluding interest and costs)</t>
  </si>
  <si>
    <t xml:space="preserve">Interest on Outstanding Sums (illustrative, to 12 May 2025)</t>
  </si>
  <si>
    <t xml:space="preserve">Principal (Outstanding Sums)</t>
  </si>
  <si>
    <t xml:space="preserve">Contractual rate (4% over BoE base, cl.12.4)</t>
  </si>
  <si>
    <t xml:space="preserve">Average period outstanding (days)</t>
  </si>
  <si>
    <t xml:space="preserve">Interest accrued to date</t>
  </si>
  <si>
    <t xml:space="preserve">Claim plus interest to date</t>
  </si>
  <si>
    <t xml:space="preserve">Note: interest rate/period are illustrative and to be updated to judgment. Blue cells are inputs.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</si>
</sst>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0.0%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34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</row>
    <row r="4" customFormat="false" ht="15" hidden="false" customHeight="false" outlineLevel="0" collapsed="false">
      <c r="A4" s="4" t="s">
        <v>2</v>
      </c>
      <c r="B4" s="4" t="s">
        <v>3</v>
      </c>
      <c r="C4" s="5" t="s">
        <v>4</v>
      </c>
      <c r="D4" s="5" t="s">
        <v>5</v>
      </c>
      <c r="E4" s="4" t="s">
        <v>6</v>
      </c>
    </row>
    <row r="5" customFormat="false" ht="23.85" hidden="false" customHeight="false" outlineLevel="0" collapsed="false">
      <c r="A5" s="6" t="s">
        <v>7</v>
      </c>
      <c r="B5" s="7" t="s">
        <v>8</v>
      </c>
      <c r="C5" s="8" t="n">
        <v>1275000</v>
      </c>
      <c r="D5" s="6" t="s">
        <v>9</v>
      </c>
      <c r="E5" s="7" t="s">
        <v>10</v>
      </c>
    </row>
    <row r="6" customFormat="false" ht="23.85" hidden="false" customHeight="false" outlineLevel="0" collapsed="false">
      <c r="A6" s="6" t="s">
        <v>11</v>
      </c>
      <c r="B6" s="7" t="s">
        <v>12</v>
      </c>
      <c r="C6" s="8" t="n">
        <v>162500</v>
      </c>
      <c r="D6" s="6" t="s">
        <v>9</v>
      </c>
      <c r="E6" s="7" t="s">
        <v>13</v>
      </c>
    </row>
    <row r="7" customFormat="false" ht="15" hidden="false" customHeight="false" outlineLevel="0" collapsed="false">
      <c r="A7" s="9"/>
      <c r="B7" s="10" t="s">
        <v>14</v>
      </c>
      <c r="C7" s="11" t="n">
        <f aca="false">SUM(C5:C6)</f>
        <v>1437500</v>
      </c>
      <c r="D7" s="12"/>
      <c r="E7" s="12"/>
    </row>
    <row r="8" customFormat="false" ht="23.85" hidden="false" customHeight="false" outlineLevel="0" collapsed="false">
      <c r="A8" s="6" t="s">
        <v>15</v>
      </c>
      <c r="B8" s="7" t="s">
        <v>16</v>
      </c>
      <c r="C8" s="8" t="n">
        <v>427000</v>
      </c>
      <c r="D8" s="6" t="s">
        <v>17</v>
      </c>
      <c r="E8" s="7" t="s">
        <v>18</v>
      </c>
    </row>
    <row r="9" customFormat="false" ht="23.85" hidden="false" customHeight="false" outlineLevel="0" collapsed="false">
      <c r="A9" s="6" t="s">
        <v>19</v>
      </c>
      <c r="B9" s="7" t="s">
        <v>20</v>
      </c>
      <c r="C9" s="8" t="n">
        <v>146000</v>
      </c>
      <c r="D9" s="6" t="s">
        <v>17</v>
      </c>
      <c r="E9" s="7" t="s">
        <v>21</v>
      </c>
    </row>
    <row r="10" customFormat="false" ht="15" hidden="false" customHeight="false" outlineLevel="0" collapsed="false">
      <c r="A10" s="9"/>
      <c r="B10" s="10" t="s">
        <v>22</v>
      </c>
      <c r="C10" s="11" t="n">
        <f aca="false">SUM(C8:C9)</f>
        <v>573000</v>
      </c>
      <c r="D10" s="12"/>
      <c r="E10" s="12"/>
    </row>
    <row r="11" customFormat="false" ht="15" hidden="false" customHeight="false" outlineLevel="0" collapsed="false">
      <c r="A11" s="13"/>
      <c r="B11" s="14" t="s">
        <v>23</v>
      </c>
      <c r="C11" s="15" t="n">
        <f aca="false">C7+C10</f>
        <v>2010500</v>
      </c>
      <c r="D11" s="16"/>
      <c r="E11" s="16"/>
    </row>
    <row r="13" customFormat="false" ht="15" hidden="false" customHeight="false" outlineLevel="0" collapsed="false">
      <c r="B13" s="17" t="s">
        <v>24</v>
      </c>
    </row>
    <row r="14" customFormat="false" ht="15" hidden="false" customHeight="false" outlineLevel="0" collapsed="false">
      <c r="B14" s="7" t="s">
        <v>25</v>
      </c>
      <c r="C14" s="8" t="n">
        <f aca="false">C7</f>
        <v>1437500</v>
      </c>
    </row>
    <row r="15" customFormat="false" ht="15" hidden="false" customHeight="false" outlineLevel="0" collapsed="false">
      <c r="B15" s="7" t="s">
        <v>26</v>
      </c>
      <c r="C15" s="18" t="n">
        <v>0.0925</v>
      </c>
    </row>
    <row r="16" customFormat="false" ht="15" hidden="false" customHeight="false" outlineLevel="0" collapsed="false">
      <c r="B16" s="7" t="s">
        <v>27</v>
      </c>
      <c r="C16" s="19" t="n">
        <v>185</v>
      </c>
    </row>
    <row r="17" customFormat="false" ht="15" hidden="false" customHeight="false" outlineLevel="0" collapsed="false">
      <c r="B17" s="10" t="s">
        <v>28</v>
      </c>
      <c r="C17" s="11" t="n">
        <f aca="false">C14*C15*C16/365</f>
        <v>67395.1198630137</v>
      </c>
    </row>
    <row r="19" customFormat="false" ht="15" hidden="false" customHeight="false" outlineLevel="0" collapsed="false">
      <c r="B19" s="14" t="s">
        <v>29</v>
      </c>
      <c r="C19" s="15" t="n">
        <f aca="false">C11+C17</f>
        <v>2077895.11986301</v>
      </c>
    </row>
    <row r="21" customFormat="false" ht="15" hidden="false" customHeight="false" outlineLevel="0" collapsed="false">
      <c r="B21" s="20" t="s">
        <v>30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2026-06-29T12:59:21Z</dcterms:created>
  <dc:creator>openpyxl</dc:creator>
  <dc:description/>
  <dc:language>en-US</dc:language>
  <cp:lastModifiedBy/>
  <dcterms:modified xsi:type="dcterms:W3CDTF">2026-06-29T12:59:21Z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