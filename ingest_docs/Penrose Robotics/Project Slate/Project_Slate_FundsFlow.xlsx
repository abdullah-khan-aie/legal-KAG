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6DCE5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/>
    </xf>
    <xf numFmtId="0" fontId="0" fillId="4" borderId="1" pivotButton="0" quotePrefix="0" xfId="0"/>
    <xf numFmtId="164" fontId="0" fillId="4" borderId="1" pivotButton="0" quotePrefix="0" xfId="0"/>
    <xf numFmtId="0" fontId="3" fillId="2" borderId="1" pivotButton="0" quotePrefix="0" xfId="0"/>
    <xf numFmtId="0" fontId="0" fillId="2" borderId="1" pivotButton="0" quotePrefix="0" xfId="0"/>
    <xf numFmtId="164" fontId="3" fillId="2" borderId="1" pivotButton="0" quotePrefix="0" xfId="0"/>
    <xf numFmtId="0" fontId="0" fillId="5" borderId="1" pivotButton="0" quotePrefix="0" xfId="0"/>
    <xf numFmtId="164" fontId="0" fillId="5" borderId="1" pivotButton="0" quotePrefix="0" xfId="0"/>
    <xf numFmtId="164" fontId="3" fillId="4" borderId="1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  <col width="20" customWidth="1" min="3" max="3"/>
  </cols>
  <sheetData>
    <row r="1">
      <c r="A1" s="1" t="inlineStr">
        <is>
          <t>Penrose Robotics Limited — Project Slate (Series C) — Completion Funds Flow</t>
        </is>
      </c>
    </row>
    <row r="2">
      <c r="A2" s="2" t="inlineStr">
        <is>
          <t>Prepared by Whitfield Carter LLP | Completion: 17 April 2026 | Currency: GBP (£)</t>
        </is>
      </c>
    </row>
    <row r="3">
      <c r="A3" s="2" t="inlineStr">
        <is>
          <t>All transfers to be made in cleared funds by CHAPS to the accounts notified in writing.</t>
        </is>
      </c>
    </row>
    <row r="5">
      <c r="A5" s="3" t="inlineStr">
        <is>
          <t>SOURCES OF FUNDS (Subscription monies)</t>
        </is>
      </c>
      <c r="B5" s="4" t="n"/>
      <c r="C5" s="4" t="n"/>
    </row>
    <row r="6">
      <c r="A6" s="5" t="inlineStr">
        <is>
          <t>Payer</t>
        </is>
      </c>
      <c r="B6" s="5" t="inlineStr">
        <is>
          <t>Description</t>
        </is>
      </c>
      <c r="C6" s="5" t="inlineStr">
        <is>
          <t>Amount (£)</t>
        </is>
      </c>
    </row>
    <row r="7">
      <c r="A7" s="6" t="inlineStr">
        <is>
          <t>Thornaby Growth Equity LLP</t>
        </is>
      </c>
      <c r="B7" s="6" t="inlineStr">
        <is>
          <t>Series C subscription</t>
        </is>
      </c>
      <c r="C7" s="7" t="n">
        <v>42000000</v>
      </c>
    </row>
    <row r="8">
      <c r="A8" s="6" t="inlineStr">
        <is>
          <t>Westbridge Growth Capital LLP</t>
        </is>
      </c>
      <c r="B8" s="6" t="inlineStr">
        <is>
          <t>Series C subscription (follow-on)</t>
        </is>
      </c>
      <c r="C8" s="7" t="n">
        <v>8000000</v>
      </c>
    </row>
    <row r="9">
      <c r="A9" s="6" t="inlineStr">
        <is>
          <t>Calderbrook Growth Partners LLP</t>
        </is>
      </c>
      <c r="B9" s="6" t="inlineStr">
        <is>
          <t>Series C subscription (follow-on)</t>
        </is>
      </c>
      <c r="C9" s="7" t="n">
        <v>4000000</v>
      </c>
    </row>
    <row r="10">
      <c r="A10" s="6" t="inlineStr">
        <is>
          <t>Aldridge Seed LP</t>
        </is>
      </c>
      <c r="B10" s="6" t="inlineStr">
        <is>
          <t>Series C subscription (pro-rata)</t>
        </is>
      </c>
      <c r="C10" s="7" t="n">
        <v>1000000</v>
      </c>
    </row>
    <row r="11">
      <c r="A11" s="8" t="inlineStr">
        <is>
          <t>Total sources</t>
        </is>
      </c>
      <c r="B11" s="9" t="n"/>
      <c r="C11" s="10">
        <f>SUM(C7:C10)</f>
        <v/>
      </c>
    </row>
    <row r="13">
      <c r="A13" s="3" t="inlineStr">
        <is>
          <t>APPLICATION OF FUNDS</t>
        </is>
      </c>
      <c r="B13" s="4" t="n"/>
      <c r="C13" s="4" t="n"/>
    </row>
    <row r="14">
      <c r="A14" s="5" t="inlineStr">
        <is>
          <t>Payer</t>
        </is>
      </c>
      <c r="B14" s="5" t="inlineStr">
        <is>
          <t>Description</t>
        </is>
      </c>
      <c r="C14" s="5" t="inlineStr">
        <is>
          <t>Amount (£)</t>
        </is>
      </c>
    </row>
    <row r="15">
      <c r="A15" s="11" t="inlineStr">
        <is>
          <t>Whitfield Carter LLP (client account)</t>
        </is>
      </c>
      <c r="B15" s="11" t="inlineStr">
        <is>
          <t>Company's legal fees (capped, incl. VAT)</t>
        </is>
      </c>
      <c r="C15" s="12" t="n">
        <v>285000</v>
      </c>
    </row>
    <row r="16">
      <c r="A16" s="11" t="inlineStr">
        <is>
          <t>Birchall Stone LLP (via Company)</t>
        </is>
      </c>
      <c r="B16" s="11" t="inlineStr">
        <is>
          <t>Lead investor's legal fees (Company to pay, capped)</t>
        </is>
      </c>
      <c r="C16" s="12" t="n">
        <v>90000</v>
      </c>
    </row>
    <row r="17">
      <c r="A17" s="11" t="inlineStr">
        <is>
          <t>Companies House / filing fees</t>
        </is>
      </c>
      <c r="B17" s="11" t="inlineStr">
        <is>
          <t>SH01, share filings</t>
        </is>
      </c>
      <c r="C17" s="12" t="n">
        <v>1500</v>
      </c>
    </row>
    <row r="18">
      <c r="A18" s="6" t="inlineStr">
        <is>
          <t>Penrose Robotics Limited</t>
        </is>
      </c>
      <c r="B18" s="6" t="inlineStr">
        <is>
          <t>Net subscription proceeds to Company</t>
        </is>
      </c>
      <c r="C18" s="13">
        <f>C11-SUM(C15:C17)</f>
        <v/>
      </c>
    </row>
    <row r="19">
      <c r="A19" s="8" t="inlineStr">
        <is>
          <t>Total application</t>
        </is>
      </c>
      <c r="B19" s="9" t="n"/>
      <c r="C19" s="10">
        <f>SUM(C15:C18)</f>
        <v/>
      </c>
    </row>
    <row r="21">
      <c r="A21" s="14" t="inlineStr">
        <is>
          <t>Check (sources − application)</t>
        </is>
      </c>
      <c r="C21" s="15">
        <f>C11-C19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2026-06-30T21:28:02Z</dcterms:created>
  <dcterms:modified xmlns:dcterms="http://purl.org/dc/terms/" xmlns:xsi="http://www.w3.org/2001/XMLSchema-instance" xsi:type="dcterms:W3CDTF">2026-06-30T21:28:02Z</dcterms:modified>
</cp:coreProperties>
</file>