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e-Money" sheetId="2" state="visible" r:id="rId2"/>
    <sheet xmlns:r="http://schemas.openxmlformats.org/officeDocument/2006/relationships" name="Post-Mon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£0.0000"/>
  </numFmts>
  <fonts count="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i val="1"/>
      <color rgb="00595959"/>
      <sz val="9"/>
    </font>
    <font>
      <name val="Calibri"/>
      <b val="1"/>
      <color rgb="00FFFFFF"/>
      <sz val="11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3" fontId="4" fillId="3" borderId="1" pivotButton="0" quotePrefix="0" xfId="0"/>
    <xf numFmtId="10" fontId="4" fillId="3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Penrose Robotics Limited — Project Slate (Series C)</t>
        </is>
      </c>
    </row>
    <row r="2">
      <c r="A2" s="2" t="inlineStr">
        <is>
          <t>Cap table assumptions &amp; round economics — Prepared by Whitfield Carter LLP</t>
        </is>
      </c>
    </row>
    <row r="3">
      <c r="A3" s="2" t="inlineStr">
        <is>
          <t>Strictly private &amp; confidential | Draft as at 18 March 2026</t>
        </is>
      </c>
    </row>
    <row r="5">
      <c r="A5" s="3" t="inlineStr">
        <is>
          <t>Metric</t>
        </is>
      </c>
      <c r="B5" s="3" t="inlineStr">
        <is>
          <t>Value</t>
        </is>
      </c>
    </row>
    <row r="6">
      <c r="A6" s="4" t="inlineStr">
        <is>
          <t>Pre-money valuation (£)</t>
        </is>
      </c>
      <c r="B6" s="5" t="n">
        <v>210000000</v>
      </c>
    </row>
    <row r="7">
      <c r="A7" s="4" t="inlineStr">
        <is>
          <t>New money raised (£)</t>
        </is>
      </c>
      <c r="B7" s="5" t="n">
        <v>55000000</v>
      </c>
    </row>
    <row r="8">
      <c r="A8" s="4" t="inlineStr">
        <is>
          <t>Post-money valuation (£)</t>
        </is>
      </c>
      <c r="B8" s="5" t="n">
        <v>265000000</v>
      </c>
    </row>
    <row r="9">
      <c r="A9" s="4" t="inlineStr">
        <is>
          <t>Fully diluted shares pre-round</t>
        </is>
      </c>
      <c r="B9" s="6" t="n">
        <v>47000000</v>
      </c>
    </row>
    <row r="10">
      <c r="A10" s="4" t="inlineStr">
        <is>
          <t>Series C issue price per share (£)</t>
        </is>
      </c>
      <c r="B10" s="7" t="n">
        <v>4.468085106382978</v>
      </c>
    </row>
    <row r="11">
      <c r="A11" s="4" t="inlineStr">
        <is>
          <t>New Series C shares issued</t>
        </is>
      </c>
      <c r="B11" s="6" t="n">
        <v>12309524</v>
      </c>
    </row>
    <row r="12">
      <c r="A12" s="4" t="inlineStr">
        <is>
          <t>Fully diluted shares post-round</t>
        </is>
      </c>
      <c r="B12" s="6" t="n">
        <v>59309524</v>
      </c>
    </row>
    <row r="13">
      <c r="A13" s="4" t="inlineStr">
        <is>
          <t>Lead investor</t>
        </is>
      </c>
      <c r="B13" s="8" t="inlineStr">
        <is>
          <t>Thornaby Growth Equity LLP</t>
        </is>
      </c>
    </row>
    <row r="14">
      <c r="A14" s="4" t="inlineStr">
        <is>
          <t>Investor liquidation preference</t>
        </is>
      </c>
      <c r="B14" s="8" t="inlineStr">
        <is>
          <t>1x non-participating</t>
        </is>
      </c>
    </row>
    <row r="15">
      <c r="A15" s="4" t="inlineStr">
        <is>
          <t>Anti-dilution</t>
        </is>
      </c>
      <c r="B15" s="8" t="inlineStr">
        <is>
          <t>Broad-based weighted average</t>
        </is>
      </c>
    </row>
    <row r="16">
      <c r="A16" s="4" t="inlineStr">
        <is>
          <t>Option pool top-up (post-round, % FD)</t>
        </is>
      </c>
      <c r="B16" s="9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6" customWidth="1" min="3" max="3"/>
    <col width="16" customWidth="1" min="4" max="4"/>
  </cols>
  <sheetData>
    <row r="1">
      <c r="A1" s="1" t="inlineStr">
        <is>
          <t>Pre-Money Capitalisation (fully diluted)</t>
        </is>
      </c>
    </row>
    <row r="3">
      <c r="A3" s="3" t="inlineStr">
        <is>
          <t>Shareholder</t>
        </is>
      </c>
      <c r="B3" s="3" t="inlineStr">
        <is>
          <t>Share class</t>
        </is>
      </c>
      <c r="C3" s="3" t="inlineStr">
        <is>
          <t>Shares</t>
        </is>
      </c>
      <c r="D3" s="3" t="inlineStr">
        <is>
          <t>% fully diluted</t>
        </is>
      </c>
    </row>
    <row r="4">
      <c r="A4" s="8" t="inlineStr">
        <is>
          <t>Dr Marcus Penrose</t>
        </is>
      </c>
      <c r="B4" s="8" t="inlineStr">
        <is>
          <t>Ordinary</t>
        </is>
      </c>
      <c r="C4" s="6" t="n">
        <v>9800000</v>
      </c>
      <c r="D4" s="9">
        <f>C4/$C$13</f>
        <v/>
      </c>
    </row>
    <row r="5">
      <c r="A5" s="8" t="inlineStr">
        <is>
          <t>Aisha Devlin</t>
        </is>
      </c>
      <c r="B5" s="8" t="inlineStr">
        <is>
          <t>Ordinary</t>
        </is>
      </c>
      <c r="C5" s="6" t="n">
        <v>7200000</v>
      </c>
      <c r="D5" s="9">
        <f>C5/$C$13</f>
        <v/>
      </c>
    </row>
    <row r="6">
      <c r="A6" s="8" t="inlineStr">
        <is>
          <t>Other founders / early team (ordinary)</t>
        </is>
      </c>
      <c r="B6" s="8" t="inlineStr">
        <is>
          <t>Ordinary</t>
        </is>
      </c>
      <c r="C6" s="6" t="n">
        <v>2400000</v>
      </c>
      <c r="D6" s="9">
        <f>C6/$C$13</f>
        <v/>
      </c>
    </row>
    <row r="7">
      <c r="A7" s="8" t="inlineStr">
        <is>
          <t>Aldridge Seed LP</t>
        </is>
      </c>
      <c r="B7" s="8" t="inlineStr">
        <is>
          <t>Seed Preferred</t>
        </is>
      </c>
      <c r="C7" s="6" t="n">
        <v>4600000</v>
      </c>
      <c r="D7" s="9">
        <f>C7/$C$13</f>
        <v/>
      </c>
    </row>
    <row r="8">
      <c r="A8" s="8" t="inlineStr">
        <is>
          <t>Calderbrook Growth Partners LLP</t>
        </is>
      </c>
      <c r="B8" s="8" t="inlineStr">
        <is>
          <t>Series A Preferred</t>
        </is>
      </c>
      <c r="C8" s="6" t="n">
        <v>6900000</v>
      </c>
      <c r="D8" s="9">
        <f>C8/$C$13</f>
        <v/>
      </c>
    </row>
    <row r="9">
      <c r="A9" s="8" t="inlineStr">
        <is>
          <t>Westbridge Growth Capital LLP</t>
        </is>
      </c>
      <c r="B9" s="8" t="inlineStr">
        <is>
          <t>Series B Preferred</t>
        </is>
      </c>
      <c r="C9" s="6" t="n">
        <v>8400000</v>
      </c>
      <c r="D9" s="9">
        <f>C9/$C$13</f>
        <v/>
      </c>
    </row>
    <row r="10">
      <c r="A10" s="8" t="inlineStr">
        <is>
          <t>Calderbrook Growth Partners LLP</t>
        </is>
      </c>
      <c r="B10" s="8" t="inlineStr">
        <is>
          <t>Series B Preferred</t>
        </is>
      </c>
      <c r="C10" s="6" t="n">
        <v>2100000</v>
      </c>
      <c r="D10" s="9">
        <f>C10/$C$13</f>
        <v/>
      </c>
    </row>
    <row r="11">
      <c r="A11" s="8" t="inlineStr">
        <is>
          <t>ESOP (issued &amp; vested)</t>
        </is>
      </c>
      <c r="B11" s="8" t="inlineStr">
        <is>
          <t>Options</t>
        </is>
      </c>
      <c r="C11" s="6" t="n">
        <v>2900000</v>
      </c>
      <c r="D11" s="9">
        <f>C11/$C$13</f>
        <v/>
      </c>
    </row>
    <row r="12">
      <c r="A12" s="8" t="inlineStr">
        <is>
          <t>ESOP (unallocated pool)</t>
        </is>
      </c>
      <c r="B12" s="8" t="inlineStr">
        <is>
          <t>Options</t>
        </is>
      </c>
      <c r="C12" s="6" t="n">
        <v>2700000</v>
      </c>
      <c r="D12" s="9">
        <f>C12/$C$13</f>
        <v/>
      </c>
    </row>
    <row r="13">
      <c r="A13" s="10" t="inlineStr">
        <is>
          <t>Total (fully diluted)</t>
        </is>
      </c>
      <c r="B13" s="11" t="n"/>
      <c r="C13" s="12">
        <f>SUM(C4:C12)</f>
        <v/>
      </c>
      <c r="D13" s="13">
        <f>SUM(D4:D12)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18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Post-Money Capitalisation (fully diluted) — on Completion of Series C</t>
        </is>
      </c>
    </row>
    <row r="3">
      <c r="A3" s="3" t="inlineStr">
        <is>
          <t>Shareholder</t>
        </is>
      </c>
      <c r="B3" s="3" t="inlineStr">
        <is>
          <t>Share class</t>
        </is>
      </c>
      <c r="C3" s="3" t="inlineStr">
        <is>
          <t>Shares pre</t>
        </is>
      </c>
      <c r="D3" s="3" t="inlineStr">
        <is>
          <t>New Series C shares</t>
        </is>
      </c>
      <c r="E3" s="3" t="inlineStr">
        <is>
          <t>Shares post</t>
        </is>
      </c>
      <c r="F3" s="3" t="inlineStr">
        <is>
          <t>% fully diluted</t>
        </is>
      </c>
      <c r="G3" s="3" t="inlineStr">
        <is>
          <t>Investment (£)</t>
        </is>
      </c>
    </row>
    <row r="4">
      <c r="A4" s="8" t="inlineStr">
        <is>
          <t>Dr Marcus Penrose</t>
        </is>
      </c>
      <c r="B4" s="8" t="inlineStr">
        <is>
          <t>Ordinary</t>
        </is>
      </c>
      <c r="C4" s="6" t="n">
        <v>9800000</v>
      </c>
      <c r="D4" s="6" t="n">
        <v>0</v>
      </c>
      <c r="E4" s="6">
        <f>C4+D4</f>
        <v/>
      </c>
      <c r="F4" s="9">
        <f>E4/$E$13</f>
        <v/>
      </c>
      <c r="G4" s="5" t="n"/>
    </row>
    <row r="5">
      <c r="A5" s="8" t="inlineStr">
        <is>
          <t>Aisha Devlin</t>
        </is>
      </c>
      <c r="B5" s="8" t="inlineStr">
        <is>
          <t>Ordinary</t>
        </is>
      </c>
      <c r="C5" s="6" t="n">
        <v>7200000</v>
      </c>
      <c r="D5" s="6" t="n">
        <v>0</v>
      </c>
      <c r="E5" s="6">
        <f>C5+D5</f>
        <v/>
      </c>
      <c r="F5" s="9">
        <f>E5/$E$13</f>
        <v/>
      </c>
      <c r="G5" s="5" t="n"/>
    </row>
    <row r="6">
      <c r="A6" s="8" t="inlineStr">
        <is>
          <t>Other founders / early team (ordinary)</t>
        </is>
      </c>
      <c r="B6" s="8" t="inlineStr">
        <is>
          <t>Ordinary</t>
        </is>
      </c>
      <c r="C6" s="6" t="n">
        <v>2400000</v>
      </c>
      <c r="D6" s="6" t="n">
        <v>0</v>
      </c>
      <c r="E6" s="6">
        <f>C6+D6</f>
        <v/>
      </c>
      <c r="F6" s="9">
        <f>E6/$E$13</f>
        <v/>
      </c>
      <c r="G6" s="5" t="n"/>
    </row>
    <row r="7">
      <c r="A7" s="8" t="inlineStr">
        <is>
          <t>Aldridge Seed LP</t>
        </is>
      </c>
      <c r="B7" s="8" t="inlineStr">
        <is>
          <t>Various</t>
        </is>
      </c>
      <c r="C7" s="6" t="n">
        <v>4600000</v>
      </c>
      <c r="D7" s="6" t="n">
        <v>223810</v>
      </c>
      <c r="E7" s="6">
        <f>C7+D7</f>
        <v/>
      </c>
      <c r="F7" s="9">
        <f>E7/$E$13</f>
        <v/>
      </c>
      <c r="G7" s="5" t="n">
        <v>1000000</v>
      </c>
    </row>
    <row r="8">
      <c r="A8" s="8" t="inlineStr">
        <is>
          <t>Calderbrook Growth Partners LLP</t>
        </is>
      </c>
      <c r="B8" s="8" t="inlineStr">
        <is>
          <t>Various</t>
        </is>
      </c>
      <c r="C8" s="6" t="n">
        <v>9000000</v>
      </c>
      <c r="D8" s="6" t="n">
        <v>895238</v>
      </c>
      <c r="E8" s="6">
        <f>C8+D8</f>
        <v/>
      </c>
      <c r="F8" s="9">
        <f>E8/$E$13</f>
        <v/>
      </c>
      <c r="G8" s="5" t="n">
        <v>4000000</v>
      </c>
    </row>
    <row r="9">
      <c r="A9" s="8" t="inlineStr">
        <is>
          <t>Westbridge Growth Capital LLP</t>
        </is>
      </c>
      <c r="B9" s="8" t="inlineStr">
        <is>
          <t>Various</t>
        </is>
      </c>
      <c r="C9" s="6" t="n">
        <v>8400000</v>
      </c>
      <c r="D9" s="6" t="n">
        <v>1790476</v>
      </c>
      <c r="E9" s="6">
        <f>C9+D9</f>
        <v/>
      </c>
      <c r="F9" s="9">
        <f>E9/$E$13</f>
        <v/>
      </c>
      <c r="G9" s="5" t="n">
        <v>8000000</v>
      </c>
    </row>
    <row r="10">
      <c r="A10" s="8" t="inlineStr">
        <is>
          <t>Thornaby Growth Equity LLP</t>
        </is>
      </c>
      <c r="B10" s="8" t="inlineStr">
        <is>
          <t>Series C Preferred</t>
        </is>
      </c>
      <c r="C10" s="6" t="n">
        <v>0</v>
      </c>
      <c r="D10" s="6" t="n">
        <v>9400000</v>
      </c>
      <c r="E10" s="6">
        <f>C10+D10</f>
        <v/>
      </c>
      <c r="F10" s="9">
        <f>E10/$E$13</f>
        <v/>
      </c>
      <c r="G10" s="5" t="n">
        <v>42000000</v>
      </c>
    </row>
    <row r="11">
      <c r="A11" s="8" t="inlineStr">
        <is>
          <t>ESOP (issued &amp; vested)</t>
        </is>
      </c>
      <c r="B11" s="8" t="inlineStr">
        <is>
          <t>Options</t>
        </is>
      </c>
      <c r="C11" s="6" t="n">
        <v>2900000</v>
      </c>
      <c r="D11" s="6" t="n">
        <v>0</v>
      </c>
      <c r="E11" s="6">
        <f>C11+D11</f>
        <v/>
      </c>
      <c r="F11" s="9">
        <f>E11/$E$13</f>
        <v/>
      </c>
      <c r="G11" s="5" t="n"/>
    </row>
    <row r="12">
      <c r="A12" s="8" t="inlineStr">
        <is>
          <t>ESOP (unallocated pool)</t>
        </is>
      </c>
      <c r="B12" s="8" t="inlineStr">
        <is>
          <t>Options</t>
        </is>
      </c>
      <c r="C12" s="6" t="n">
        <v>2700000</v>
      </c>
      <c r="D12" s="6" t="n">
        <v>0</v>
      </c>
      <c r="E12" s="6">
        <f>C12+D12</f>
        <v/>
      </c>
      <c r="F12" s="9">
        <f>E12/$E$13</f>
        <v/>
      </c>
      <c r="G12" s="5" t="n"/>
    </row>
    <row r="13">
      <c r="A13" s="10" t="inlineStr">
        <is>
          <t>Total</t>
        </is>
      </c>
      <c r="B13" s="11" t="n"/>
      <c r="C13" s="12">
        <f>SUM(C4:C12)</f>
        <v/>
      </c>
      <c r="D13" s="12">
        <f>SUM(D4:D12)</f>
        <v/>
      </c>
      <c r="E13" s="12">
        <f>SUM(E4:E12)</f>
        <v/>
      </c>
      <c r="F13" s="13">
        <f>SUM(F4:F12)</f>
        <v/>
      </c>
      <c r="G13" s="14">
        <f>SUM(G4:G12)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2026-06-30T21:27:26Z</dcterms:created>
  <dcterms:modified xmlns:dcterms="http://purl.org/dc/terms/" xmlns:xsi="http://www.w3.org/2001/XMLSchema-instance" xsi:type="dcterms:W3CDTF">2026-06-30T21:27:26Z</dcterms:modified>
</cp:coreProperties>
</file>