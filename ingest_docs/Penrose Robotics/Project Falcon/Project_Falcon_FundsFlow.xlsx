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<sst xmlns="http://schemas.openxmlformats.org/spreadsheetml/2006/main" count="17" uniqueCount="16">
  <si>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Penrose Robotics Limited — Project Falcon (Series B) Funds Flow Statement</t>
  </si>
  <si>
    <t xml:space="preserve">Completion date: 29 May 2026</t>
  </si>
  <si>
    <t xml:space="preserve">SOURCES OF FUNDS</t>
  </si>
  <si>
    <t xml:space="preserve">Amount (£)</t>
  </si>
  <si>
    <t xml:space="preserve">Westbridge Growth Capital LLP (Lead)</t>
  </si>
  <si>
    <t xml:space="preserve">Calderbrook Growth Partners LLP (follow-on)</t>
  </si>
  <si>
    <t xml:space="preserve">Aldridge Seed LP (follow-on)</t>
  </si>
  <si>
    <t xml:space="preserve">Total sources</t>
  </si>
  <si>
    <t xml:space="preserve">USES OF FUNDS</t>
  </si>
  <si>
    <t xml:space="preserve">To Company — net subscription proceeds</t>
  </si>
  <si>
    <t xml:space="preserve">Whitfield Carter LLP — Company legal fees (incl VAT)</t>
  </si>
  <si>
    <t xml:space="preserve">Lead Investor legal costs reimbursed (incl VAT)</t>
  </si>
  <si>
    <t xml:space="preserve">Financial due diligence — Marlow Tax &amp; Advisory Ltd</t>
  </si>
  <si>
    <t xml:space="preserve">Companies House / registration fees</t>
  </si>
  <si>
    <t xml:space="preserve">Total uses</t>
  </si>
  <si>
    <t xml:space="preserve">Balance check (sources − uses)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</si>
</sst>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11000000</v>
      </c>
    </row>
    <row r="6" customFormat="false" ht="15" hidden="false" customHeight="false" outlineLevel="0" collapsed="false">
      <c r="A6" s="4" t="s">
        <v>5</v>
      </c>
      <c r="B6" s="5" t="n">
        <v>2000000</v>
      </c>
    </row>
    <row r="7" customFormat="false" ht="15" hidden="false" customHeight="false" outlineLevel="0" collapsed="false">
      <c r="A7" s="4" t="s">
        <v>6</v>
      </c>
      <c r="B7" s="5" t="n">
        <v>1000000</v>
      </c>
    </row>
    <row r="8" customFormat="false" ht="15" hidden="false" customHeight="false" outlineLevel="0" collapsed="false">
      <c r="A8" s="6" t="s">
        <v>7</v>
      </c>
      <c r="B8" s="7" t="n">
        <f aca="false">SUM(B5:B7)</f>
        <v>14000000</v>
      </c>
    </row>
    <row r="9" customFormat="false" ht="15" hidden="false" customHeight="false" outlineLevel="0" collapsed="false">
      <c r="A9" s="4"/>
      <c r="B9" s="4"/>
    </row>
    <row r="10" customFormat="false" ht="15" hidden="false" customHeight="false" outlineLevel="0" collapsed="false">
      <c r="A10" s="3" t="s">
        <v>8</v>
      </c>
      <c r="B10" s="3" t="s">
        <v>3</v>
      </c>
    </row>
    <row r="11" customFormat="false" ht="15" hidden="false" customHeight="false" outlineLevel="0" collapsed="false">
      <c r="A11" s="4" t="s">
        <v>9</v>
      </c>
      <c r="B11" s="7" t="n">
        <f aca="false">B8-SUM(B12:B15)</f>
        <v>13847500</v>
      </c>
    </row>
    <row r="12" customFormat="false" ht="15" hidden="false" customHeight="false" outlineLevel="0" collapsed="false">
      <c r="A12" s="4" t="s">
        <v>10</v>
      </c>
      <c r="B12" s="5" t="n">
        <v>78000</v>
      </c>
    </row>
    <row r="13" customFormat="false" ht="15" hidden="false" customHeight="false" outlineLevel="0" collapsed="false">
      <c r="A13" s="4" t="s">
        <v>11</v>
      </c>
      <c r="B13" s="5" t="n">
        <v>48000</v>
      </c>
    </row>
    <row r="14" customFormat="false" ht="15" hidden="false" customHeight="false" outlineLevel="0" collapsed="false">
      <c r="A14" s="4" t="s">
        <v>12</v>
      </c>
      <c r="B14" s="5" t="n">
        <v>26000</v>
      </c>
    </row>
    <row r="15" customFormat="false" ht="15" hidden="false" customHeight="false" outlineLevel="0" collapsed="false">
      <c r="A15" s="4" t="s">
        <v>13</v>
      </c>
      <c r="B15" s="5" t="n">
        <v>500</v>
      </c>
    </row>
    <row r="16" customFormat="false" ht="15" hidden="false" customHeight="false" outlineLevel="0" collapsed="false">
      <c r="A16" s="6" t="s">
        <v>14</v>
      </c>
      <c r="B16" s="7" t="n">
        <f aca="false">SUM(B11:B15)</f>
        <v>14000000</v>
      </c>
    </row>
    <row r="17" customFormat="false" ht="15" hidden="false" customHeight="false" outlineLevel="0" collapsed="false">
      <c r="A17" s="4"/>
      <c r="B17" s="4"/>
    </row>
    <row r="18" customFormat="false" ht="15" hidden="false" customHeight="false" outlineLevel="0" collapsed="false">
      <c r="A18" s="6" t="s">
        <v>15</v>
      </c>
      <c r="B18" s="7" t="n">
        <f aca="false">B8-B16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2026-06-26T14:10:59Z</dcterms:created>
  <dc:creator>openpyxl</dc:creator>
  <dc:description/>
  <dc:language>en-US</dc:language>
  <cp:lastModifiedBy/>
  <dcterms:modified xsi:type="dcterms:W3CDTF">2026-06-26T14:10:59Z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