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 Ta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<sst xmlns="http://schemas.openxmlformats.org/spreadsheetml/2006/main" count="30" uniqueCount="28">
  <si>
    <t xml:space="preserve">Penrose Robotics Limited — Project Falcon (Series B) Cap Table</t>
  </si>
  <si>
    <t xml:space="preserve">Price per Series B share (£)</t>
  </si>
  <si>
    <t xml:space="preserve">New investment (£)</t>
  </si>
  <si>
    <t xml:space="preserve">Pre-money (£)</t>
  </si>
  <si>
    <t xml:space="preserve">Shareholder</t>
  </si>
  <si>
    <t xml:space="preserve">Class</t>
  </si>
  <si>
    <t xml:space="preserve">Pre-money shares</t>
  </si>
  <si>
    <t xml:space="preserve">Pre %</t>
  </si>
  <si>
    <t xml:space="preserve">New Series B shares</t>
  </si>
  <si>
    <t xml:space="preserve">Post-money shares</t>
  </si>
  <si>
    <t xml:space="preserve">Post %</t>
  </si>
  <si>
    <t xml:space="preserve">Value at PPS (£)</t>
  </si>
  <si>
    <t xml:space="preserve">Dr Marcus Penrose</t>
  </si>
  <si>
    <t xml:space="preserve">Ordinary</t>
  </si>
  <si>
    <t xml:space="preserve">Aisha Devlin</t>
  </si>
  <si>
    <t xml:space="preserve">Calderbrook Growth Partners LLP</t>
  </si>
  <si>
    <t xml:space="preserve">Series A / B</t>
  </si>
  <si>
    <t xml:space="preserve">Aldridge Seed LP</t>
  </si>
  <si>
    <t xml:space="preserve">Westbridge Growth Capital LLP</t>
  </si>
  <si>
    <t xml:space="preserve">Series B</t>
  </si>
  <si>
    <t xml:space="preserve">Option Pool (enlarged, reserved)</t>
  </si>
  <si>
    <t xml:space="preserve">Options</t>
  </si>
  <si>
    <t xml:space="preserve">Total</t>
  </si>
  <si>
    <t xml:space="preserve">Checks</t>
  </si>
  <si>
    <t xml:space="preserve">Post-money fully diluted shares</t>
  </si>
  <si>
    <t xml:space="preserve">Post-money valuation (£)</t>
  </si>
  <si>
    <t xml:space="preserve">New money stake (Series B issued this round)</t>
  </si>
  <si>
    <t xml:space="preserve">Option pool (post %)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</si>
</sst>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.00"/>
    <numFmt numFmtId="166" formatCode="\£#,##0"/>
    <numFmt numFmtId="167" formatCode="#,##0"/>
    <numFmt numFmtId="168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17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14</v>
      </c>
      <c r="C2" s="2" t="s">
        <v>2</v>
      </c>
      <c r="D2" s="4" t="n">
        <v>14000000</v>
      </c>
      <c r="E2" s="2" t="s">
        <v>3</v>
      </c>
      <c r="F2" s="4" t="n">
        <v>56000000</v>
      </c>
    </row>
    <row r="4" customFormat="false" ht="15" hidden="false" customHeight="false" outlineLevel="0" collapsed="false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</row>
    <row r="5" customFormat="false" ht="15" hidden="false" customHeight="false" outlineLevel="0" collapsed="false">
      <c r="A5" s="6" t="s">
        <v>12</v>
      </c>
      <c r="B5" s="6" t="s">
        <v>13</v>
      </c>
      <c r="C5" s="7" t="n">
        <v>1600000</v>
      </c>
      <c r="D5" s="8" t="n">
        <f aca="false">C5/$C$11</f>
        <v>0.4</v>
      </c>
      <c r="E5" s="7" t="n">
        <v>0</v>
      </c>
      <c r="F5" s="7" t="n">
        <f aca="false">C5+E5</f>
        <v>1600000</v>
      </c>
      <c r="G5" s="8" t="n">
        <f aca="false">F5/$F$11</f>
        <v>0.32</v>
      </c>
      <c r="H5" s="9" t="n">
        <f aca="false">F5*$B$2</f>
        <v>22400000</v>
      </c>
    </row>
    <row r="6" customFormat="false" ht="15" hidden="false" customHeight="false" outlineLevel="0" collapsed="false">
      <c r="A6" s="6" t="s">
        <v>14</v>
      </c>
      <c r="B6" s="6" t="s">
        <v>13</v>
      </c>
      <c r="C6" s="7" t="n">
        <v>900000</v>
      </c>
      <c r="D6" s="8" t="n">
        <f aca="false">C6/$C$11</f>
        <v>0.225</v>
      </c>
      <c r="E6" s="7" t="n">
        <v>0</v>
      </c>
      <c r="F6" s="7" t="n">
        <f aca="false">C6+E6</f>
        <v>900000</v>
      </c>
      <c r="G6" s="8" t="n">
        <f aca="false">F6/$F$11</f>
        <v>0.18</v>
      </c>
      <c r="H6" s="9" t="n">
        <f aca="false">F6*$B$2</f>
        <v>12600000</v>
      </c>
    </row>
    <row r="7" customFormat="false" ht="15" hidden="false" customHeight="false" outlineLevel="0" collapsed="false">
      <c r="A7" s="6" t="s">
        <v>15</v>
      </c>
      <c r="B7" s="6" t="s">
        <v>16</v>
      </c>
      <c r="C7" s="7" t="n">
        <v>600000</v>
      </c>
      <c r="D7" s="8" t="n">
        <f aca="false">C7/$C$11</f>
        <v>0.15</v>
      </c>
      <c r="E7" s="7" t="n">
        <f aca="false">ROUND(2000000/$B$2,0)</f>
        <v>142857</v>
      </c>
      <c r="F7" s="7" t="n">
        <f aca="false">C7+E7</f>
        <v>742857</v>
      </c>
      <c r="G7" s="8" t="n">
        <f aca="false">F7/$F$11</f>
        <v>0.1485714</v>
      </c>
      <c r="H7" s="9" t="n">
        <f aca="false">F7*$B$2</f>
        <v>10399998</v>
      </c>
    </row>
    <row r="8" customFormat="false" ht="15" hidden="false" customHeight="false" outlineLevel="0" collapsed="false">
      <c r="A8" s="6" t="s">
        <v>17</v>
      </c>
      <c r="B8" s="6" t="s">
        <v>16</v>
      </c>
      <c r="C8" s="7" t="n">
        <v>250000</v>
      </c>
      <c r="D8" s="8" t="n">
        <f aca="false">C8/$C$11</f>
        <v>0.0625</v>
      </c>
      <c r="E8" s="7" t="n">
        <f aca="false">ROUND(1000000/$B$2,0)</f>
        <v>71429</v>
      </c>
      <c r="F8" s="7" t="n">
        <f aca="false">C8+E8</f>
        <v>321429</v>
      </c>
      <c r="G8" s="8" t="n">
        <f aca="false">F8/$F$11</f>
        <v>0.0642858</v>
      </c>
      <c r="H8" s="9" t="n">
        <f aca="false">F8*$B$2</f>
        <v>4500006</v>
      </c>
    </row>
    <row r="9" customFormat="false" ht="15" hidden="false" customHeight="false" outlineLevel="0" collapsed="false">
      <c r="A9" s="6" t="s">
        <v>18</v>
      </c>
      <c r="B9" s="6" t="s">
        <v>19</v>
      </c>
      <c r="C9" s="7" t="n">
        <v>0</v>
      </c>
      <c r="D9" s="8" t="n">
        <f aca="false">C9/$C$11</f>
        <v>0</v>
      </c>
      <c r="E9" s="7" t="n">
        <f aca="false">ROUND(11000000/$B$2,0)</f>
        <v>785714</v>
      </c>
      <c r="F9" s="7" t="n">
        <f aca="false">C9+E9</f>
        <v>785714</v>
      </c>
      <c r="G9" s="8" t="n">
        <f aca="false">F9/$F$11</f>
        <v>0.1571428</v>
      </c>
      <c r="H9" s="9" t="n">
        <f aca="false">F9*$B$2</f>
        <v>10999996</v>
      </c>
    </row>
    <row r="10" customFormat="false" ht="15" hidden="false" customHeight="false" outlineLevel="0" collapsed="false">
      <c r="A10" s="6" t="s">
        <v>20</v>
      </c>
      <c r="B10" s="6" t="s">
        <v>21</v>
      </c>
      <c r="C10" s="7" t="n">
        <v>650000</v>
      </c>
      <c r="D10" s="8" t="n">
        <f aca="false">C10/$C$11</f>
        <v>0.1625</v>
      </c>
      <c r="E10" s="7" t="n">
        <v>0</v>
      </c>
      <c r="F10" s="7" t="n">
        <f aca="false">C10+E10</f>
        <v>650000</v>
      </c>
      <c r="G10" s="8" t="n">
        <f aca="false">F10/$F$11</f>
        <v>0.13</v>
      </c>
      <c r="H10" s="9" t="n">
        <f aca="false">F10*$B$2</f>
        <v>9100000</v>
      </c>
    </row>
    <row r="11" customFormat="false" ht="15" hidden="false" customHeight="false" outlineLevel="0" collapsed="false">
      <c r="A11" s="10" t="s">
        <v>22</v>
      </c>
      <c r="B11" s="10"/>
      <c r="C11" s="11" t="n">
        <f aca="false">SUM(C5:C10)</f>
        <v>4000000</v>
      </c>
      <c r="D11" s="12" t="n">
        <f aca="false">SUM(D5:D10)</f>
        <v>1</v>
      </c>
      <c r="E11" s="11" t="n">
        <f aca="false">SUM(E5:E10)</f>
        <v>1000000</v>
      </c>
      <c r="F11" s="11" t="n">
        <f aca="false">SUM(F5:F10)</f>
        <v>5000000</v>
      </c>
      <c r="G11" s="12" t="n">
        <f aca="false">SUM(G5:G10)</f>
        <v>1</v>
      </c>
      <c r="H11" s="13" t="n">
        <f aca="false">SUM(H5:H10)</f>
        <v>70000000</v>
      </c>
    </row>
    <row r="13" customFormat="false" ht="15" hidden="false" customHeight="false" outlineLevel="0" collapsed="false">
      <c r="A13" s="2" t="s">
        <v>23</v>
      </c>
    </row>
    <row r="14" customFormat="false" ht="15" hidden="false" customHeight="false" outlineLevel="0" collapsed="false">
      <c r="A14" s="0" t="s">
        <v>24</v>
      </c>
      <c r="B14" s="14" t="n">
        <f aca="false">F11</f>
        <v>5000000</v>
      </c>
    </row>
    <row r="15" customFormat="false" ht="15" hidden="false" customHeight="false" outlineLevel="0" collapsed="false">
      <c r="A15" s="0" t="s">
        <v>25</v>
      </c>
      <c r="B15" s="15" t="n">
        <f aca="false">F11*B2</f>
        <v>70000000</v>
      </c>
    </row>
    <row r="16" customFormat="false" ht="15" hidden="false" customHeight="false" outlineLevel="0" collapsed="false">
      <c r="A16" s="0" t="s">
        <v>26</v>
      </c>
      <c r="B16" s="16" t="n">
        <f aca="false">E11/F11</f>
        <v>0.2</v>
      </c>
    </row>
    <row r="17" customFormat="false" ht="15" hidden="false" customHeight="false" outlineLevel="0" collapsed="false">
      <c r="A17" s="0" t="s">
        <v>27</v>
      </c>
      <c r="B17" s="16" t="n">
        <f aca="false">F10/F11</f>
        <v>0.13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2026-06-26T14:10:59Z</dcterms:created>
  <dc:creator>openpyxl</dc:creator>
  <dc:description/>
  <dc:language>en-US</dc:language>
  <cp:lastModifiedBy/>
  <dcterms:modified xsi:type="dcterms:W3CDTF">2026-06-26T14:10:59Z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