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 of Lo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<sst xmlns="http://schemas.openxmlformats.org/spreadsheetml/2006/main" count="62" uniqueCount="60">
  <si>
    <t xml:space="preserve">Martin Hale v Wexford Holdings Limited — Schedule of Loss</t>
  </si>
  <si>
    <t xml:space="preserve">Case No. 2204187/2025 (London Central)  ·  Prepared by Ashworth Quinn LLP  ·  Updated 14 November 2025</t>
  </si>
  <si>
    <t xml:space="preserve">Claimant</t>
  </si>
  <si>
    <t xml:space="preserve">Mr Martin Hale</t>
  </si>
  <si>
    <t xml:space="preserve">DOB 4 March 1967 (age 58)</t>
  </si>
  <si>
    <t xml:space="preserve">Employment</t>
  </si>
  <si>
    <t xml:space="preserve">1 Sep 2014 – 31 Oct 2025</t>
  </si>
  <si>
    <t xml:space="preserve">Chief Operating Officer</t>
  </si>
  <si>
    <t xml:space="preserve">ASSUMPTIONS</t>
  </si>
  <si>
    <t xml:space="preserve">Gross annual salary</t>
  </si>
  <si>
    <t xml:space="preserve">Service agreement, as at termination</t>
  </si>
  <si>
    <t xml:space="preserve">Net annual salary (after tax &amp; NIC)</t>
  </si>
  <si>
    <t xml:space="preserve">Claimant estimate</t>
  </si>
  <si>
    <t xml:space="preserve">Net monthly salary</t>
  </si>
  <si>
    <t xml:space="preserve">Net annual divided by 12</t>
  </si>
  <si>
    <t xml:space="preserve">Statutory cap on a week's pay (2025/26)</t>
  </si>
  <si>
    <t xml:space="preserve">ERA 1996 s.227 limit</t>
  </si>
  <si>
    <t xml:space="preserve">Complete years of service</t>
  </si>
  <si>
    <t xml:space="preserve">Age at termination</t>
  </si>
  <si>
    <t xml:space="preserve">For basic-award multiplier</t>
  </si>
  <si>
    <t xml:space="preserve">Past loss — months to hearing</t>
  </si>
  <si>
    <t xml:space="preserve">Termination to listed hearing (Jun 2026)</t>
  </si>
  <si>
    <t xml:space="preserve">Future loss — months</t>
  </si>
  <si>
    <t xml:space="preserve">Estimated time to comparable role</t>
  </si>
  <si>
    <t xml:space="preserve">Employer pension contribution rate</t>
  </si>
  <si>
    <t xml:space="preserve">Service agreement cl 7.1</t>
  </si>
  <si>
    <t xml:space="preserve">Pension loss period (months)</t>
  </si>
  <si>
    <t xml:space="preserve">Past + future</t>
  </si>
  <si>
    <t xml:space="preserve">Annual value of benefits (PMI, life, PHI)</t>
  </si>
  <si>
    <t xml:space="preserve">Injury to feelings (Vento middle band)</t>
  </si>
  <si>
    <t xml:space="preserve">Age discrimination (2025/26 bands)</t>
  </si>
  <si>
    <t xml:space="preserve">Interest rate on awards</t>
  </si>
  <si>
    <t xml:space="preserve">Simple, per annum</t>
  </si>
  <si>
    <t xml:space="preserve">Interest period (years)</t>
  </si>
  <si>
    <t xml:space="preserve">From dismissal to hearing</t>
  </si>
  <si>
    <t xml:space="preserve">HEAD OF LOSS</t>
  </si>
  <si>
    <t xml:space="preserve">AMOUNT</t>
  </si>
  <si>
    <t xml:space="preserve">BASIS</t>
  </si>
  <si>
    <t xml:space="preserve">Basic award</t>
  </si>
  <si>
    <t xml:space="preserve">1.5 × 11 yrs × week's pay (age 41+)</t>
  </si>
  <si>
    <t xml:space="preserve">Loss of statutory rights</t>
  </si>
  <si>
    <t xml:space="preserve">Conventional award</t>
  </si>
  <si>
    <t xml:space="preserve">Past loss of earnings (net)</t>
  </si>
  <si>
    <t xml:space="preserve">Net monthly × months to hearing</t>
  </si>
  <si>
    <t xml:space="preserve">Past loss of pension</t>
  </si>
  <si>
    <t xml:space="preserve">8% of salary over past period</t>
  </si>
  <si>
    <t xml:space="preserve">Past loss of benefits</t>
  </si>
  <si>
    <t xml:space="preserve">Benefits value over past period</t>
  </si>
  <si>
    <t xml:space="preserve">Future loss of earnings (net)</t>
  </si>
  <si>
    <t xml:space="preserve">Net monthly × future months</t>
  </si>
  <si>
    <t xml:space="preserve">Future loss of pension</t>
  </si>
  <si>
    <t xml:space="preserve">8% of salary over future period</t>
  </si>
  <si>
    <t xml:space="preserve">Injury to feelings</t>
  </si>
  <si>
    <t xml:space="preserve">Equality Act 2010 (Vento middle band)</t>
  </si>
  <si>
    <t xml:space="preserve">Interest on injury to feelings</t>
  </si>
  <si>
    <t xml:space="preserve">8% simple</t>
  </si>
  <si>
    <t xml:space="preserve">Interest on past financial loss</t>
  </si>
  <si>
    <t xml:space="preserve">8% simple on past losses (half rate)</t>
  </si>
  <si>
    <t xml:space="preserve">TOTAL CLAIMED</t>
  </si>
  <si>
    <t xml:space="preserve">Note: the compensatory award for unfair dismissal is subject to the statutory cap (the lower of 52 weeks' gross pay or £115,115). The age discrimination claim is uncapped and the injury-to-feelings award and interest are recoverable in addition. The claimant will give credit for sums received in mitigation.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</si>
</sst>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;&quot;(£&quot;#,##0\);\-"/>
    <numFmt numFmtId="166" formatCode="0"/>
    <numFmt numFmtId="167" formatCode="0.0%"/>
    <numFmt numFmtId="168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46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 t="s">
        <v>3</v>
      </c>
      <c r="D4" s="4" t="s">
        <v>4</v>
      </c>
    </row>
    <row r="5" customFormat="false" ht="15" hidden="false" customHeight="false" outlineLevel="0" collapsed="false">
      <c r="B5" s="3" t="s">
        <v>5</v>
      </c>
      <c r="C5" s="4" t="s">
        <v>6</v>
      </c>
      <c r="D5" s="4" t="s">
        <v>7</v>
      </c>
    </row>
    <row r="7" customFormat="false" ht="15" hidden="false" customHeight="false" outlineLevel="0" collapsed="false">
      <c r="B7" s="5" t="s">
        <v>8</v>
      </c>
      <c r="C7" s="6"/>
      <c r="D7" s="6"/>
    </row>
    <row r="8" customFormat="false" ht="15" hidden="false" customHeight="false" outlineLevel="0" collapsed="false">
      <c r="B8" s="4" t="s">
        <v>9</v>
      </c>
      <c r="C8" s="7" t="n">
        <v>185000</v>
      </c>
      <c r="D8" s="2" t="s">
        <v>10</v>
      </c>
    </row>
    <row r="9" customFormat="false" ht="15" hidden="false" customHeight="false" outlineLevel="0" collapsed="false">
      <c r="B9" s="4" t="s">
        <v>11</v>
      </c>
      <c r="C9" s="7" t="n">
        <v>118040</v>
      </c>
      <c r="D9" s="2" t="s">
        <v>12</v>
      </c>
    </row>
    <row r="10" customFormat="false" ht="15" hidden="false" customHeight="false" outlineLevel="0" collapsed="false">
      <c r="B10" s="4" t="s">
        <v>13</v>
      </c>
      <c r="C10" s="8" t="n">
        <f aca="false">C9/12</f>
        <v>9836.66666666667</v>
      </c>
      <c r="D10" s="2" t="s">
        <v>14</v>
      </c>
    </row>
    <row r="11" customFormat="false" ht="15" hidden="false" customHeight="false" outlineLevel="0" collapsed="false">
      <c r="B11" s="4" t="s">
        <v>15</v>
      </c>
      <c r="C11" s="7" t="n">
        <v>719</v>
      </c>
      <c r="D11" s="2" t="s">
        <v>16</v>
      </c>
    </row>
    <row r="12" customFormat="false" ht="15" hidden="false" customHeight="false" outlineLevel="0" collapsed="false">
      <c r="B12" s="4" t="s">
        <v>17</v>
      </c>
      <c r="C12" s="9" t="n">
        <v>11</v>
      </c>
      <c r="D12" s="2" t="s">
        <v>6</v>
      </c>
    </row>
    <row r="13" customFormat="false" ht="15" hidden="false" customHeight="false" outlineLevel="0" collapsed="false">
      <c r="B13" s="4" t="s">
        <v>18</v>
      </c>
      <c r="C13" s="9" t="n">
        <v>58</v>
      </c>
      <c r="D13" s="2" t="s">
        <v>19</v>
      </c>
    </row>
    <row r="14" customFormat="false" ht="15" hidden="false" customHeight="false" outlineLevel="0" collapsed="false">
      <c r="B14" s="4" t="s">
        <v>20</v>
      </c>
      <c r="C14" s="9" t="n">
        <v>7</v>
      </c>
      <c r="D14" s="2" t="s">
        <v>21</v>
      </c>
    </row>
    <row r="15" customFormat="false" ht="15" hidden="false" customHeight="false" outlineLevel="0" collapsed="false">
      <c r="B15" s="4" t="s">
        <v>22</v>
      </c>
      <c r="C15" s="9" t="n">
        <v>9</v>
      </c>
      <c r="D15" s="2" t="s">
        <v>23</v>
      </c>
    </row>
    <row r="16" customFormat="false" ht="15" hidden="false" customHeight="false" outlineLevel="0" collapsed="false">
      <c r="B16" s="4" t="s">
        <v>24</v>
      </c>
      <c r="C16" s="10" t="n">
        <v>0.08</v>
      </c>
      <c r="D16" s="2" t="s">
        <v>25</v>
      </c>
    </row>
    <row r="17" customFormat="false" ht="15" hidden="false" customHeight="false" outlineLevel="0" collapsed="false">
      <c r="B17" s="4" t="s">
        <v>26</v>
      </c>
      <c r="C17" s="9" t="n">
        <v>16</v>
      </c>
      <c r="D17" s="2" t="s">
        <v>27</v>
      </c>
    </row>
    <row r="18" customFormat="false" ht="15" hidden="false" customHeight="false" outlineLevel="0" collapsed="false">
      <c r="B18" s="4" t="s">
        <v>28</v>
      </c>
      <c r="C18" s="7" t="n">
        <v>4200</v>
      </c>
      <c r="D18" s="2" t="s">
        <v>12</v>
      </c>
    </row>
    <row r="19" customFormat="false" ht="15" hidden="false" customHeight="false" outlineLevel="0" collapsed="false">
      <c r="B19" s="4" t="s">
        <v>29</v>
      </c>
      <c r="C19" s="7" t="n">
        <v>20000</v>
      </c>
      <c r="D19" s="2" t="s">
        <v>30</v>
      </c>
    </row>
    <row r="20" customFormat="false" ht="15" hidden="false" customHeight="false" outlineLevel="0" collapsed="false">
      <c r="B20" s="4" t="s">
        <v>31</v>
      </c>
      <c r="C20" s="10" t="n">
        <v>0.08</v>
      </c>
      <c r="D20" s="2" t="s">
        <v>32</v>
      </c>
    </row>
    <row r="21" customFormat="false" ht="15" hidden="false" customHeight="false" outlineLevel="0" collapsed="false">
      <c r="B21" s="4" t="s">
        <v>33</v>
      </c>
      <c r="C21" s="11" t="n">
        <v>0.75</v>
      </c>
      <c r="D21" s="2" t="s">
        <v>34</v>
      </c>
    </row>
    <row r="23" customFormat="false" ht="15" hidden="false" customHeight="false" outlineLevel="0" collapsed="false">
      <c r="B23" s="12" t="s">
        <v>35</v>
      </c>
      <c r="C23" s="13" t="s">
        <v>36</v>
      </c>
      <c r="D23" s="13" t="s">
        <v>37</v>
      </c>
    </row>
    <row r="24" customFormat="false" ht="15" hidden="false" customHeight="false" outlineLevel="0" collapsed="false">
      <c r="B24" s="4" t="s">
        <v>38</v>
      </c>
      <c r="C24" s="8" t="n">
        <f aca="false">1.5*C12*C11</f>
        <v>11863.5</v>
      </c>
      <c r="D24" s="2" t="s">
        <v>39</v>
      </c>
    </row>
    <row r="25" customFormat="false" ht="15" hidden="false" customHeight="false" outlineLevel="0" collapsed="false">
      <c r="B25" s="4" t="s">
        <v>40</v>
      </c>
      <c r="C25" s="7" t="n">
        <v>500</v>
      </c>
      <c r="D25" s="2" t="s">
        <v>41</v>
      </c>
    </row>
    <row r="26" customFormat="false" ht="15" hidden="false" customHeight="false" outlineLevel="0" collapsed="false">
      <c r="B26" s="4" t="s">
        <v>42</v>
      </c>
      <c r="C26" s="8" t="n">
        <f aca="false">C10*C14</f>
        <v>68856.6666666667</v>
      </c>
      <c r="D26" s="2" t="s">
        <v>43</v>
      </c>
    </row>
    <row r="27" customFormat="false" ht="15" hidden="false" customHeight="false" outlineLevel="0" collapsed="false">
      <c r="B27" s="4" t="s">
        <v>44</v>
      </c>
      <c r="C27" s="8" t="n">
        <f aca="false">C8*C16/12*C14</f>
        <v>8633.33333333333</v>
      </c>
      <c r="D27" s="2" t="s">
        <v>45</v>
      </c>
    </row>
    <row r="28" customFormat="false" ht="15" hidden="false" customHeight="false" outlineLevel="0" collapsed="false">
      <c r="B28" s="4" t="s">
        <v>46</v>
      </c>
      <c r="C28" s="8" t="n">
        <f aca="false">C18/12*C14</f>
        <v>2450</v>
      </c>
      <c r="D28" s="2" t="s">
        <v>47</v>
      </c>
    </row>
    <row r="29" customFormat="false" ht="15" hidden="false" customHeight="false" outlineLevel="0" collapsed="false">
      <c r="B29" s="4" t="s">
        <v>48</v>
      </c>
      <c r="C29" s="8" t="n">
        <f aca="false">C10*C15</f>
        <v>88530</v>
      </c>
      <c r="D29" s="2" t="s">
        <v>49</v>
      </c>
    </row>
    <row r="30" customFormat="false" ht="15" hidden="false" customHeight="false" outlineLevel="0" collapsed="false">
      <c r="B30" s="4" t="s">
        <v>50</v>
      </c>
      <c r="C30" s="8" t="n">
        <f aca="false">C8*C16/12*C15</f>
        <v>11100</v>
      </c>
      <c r="D30" s="2" t="s">
        <v>51</v>
      </c>
    </row>
    <row r="31" customFormat="false" ht="15" hidden="false" customHeight="false" outlineLevel="0" collapsed="false">
      <c r="B31" s="4" t="s">
        <v>52</v>
      </c>
      <c r="C31" s="8" t="n">
        <f aca="false">C19</f>
        <v>20000</v>
      </c>
      <c r="D31" s="2" t="s">
        <v>53</v>
      </c>
    </row>
    <row r="32" customFormat="false" ht="15" hidden="false" customHeight="false" outlineLevel="0" collapsed="false">
      <c r="B32" s="4" t="s">
        <v>54</v>
      </c>
      <c r="C32" s="8" t="n">
        <f aca="false">C19*C20*C21</f>
        <v>1200</v>
      </c>
      <c r="D32" s="2" t="s">
        <v>55</v>
      </c>
    </row>
    <row r="33" customFormat="false" ht="15" hidden="false" customHeight="false" outlineLevel="0" collapsed="false">
      <c r="B33" s="4" t="s">
        <v>56</v>
      </c>
      <c r="C33" s="8" t="n">
        <f aca="false">(C26+C27+C28)*C20*C21/2</f>
        <v>2398.2</v>
      </c>
      <c r="D33" s="2" t="s">
        <v>57</v>
      </c>
    </row>
    <row r="34" customFormat="false" ht="15" hidden="false" customHeight="false" outlineLevel="0" collapsed="false">
      <c r="B34" s="14" t="s">
        <v>58</v>
      </c>
      <c r="C34" s="15" t="n">
        <f aca="false">SUM(C24:C33)</f>
        <v>215531.7</v>
      </c>
      <c r="D34" s="16"/>
    </row>
    <row r="36" customFormat="false" ht="15" hidden="false" customHeight="true" outlineLevel="0" collapsed="false">
      <c r="B36" s="17" t="s">
        <v>59</v>
      </c>
      <c r="C36" s="17"/>
      <c r="D36" s="17"/>
    </row>
    <row r="37" customFormat="false" ht="15" hidden="false" customHeight="false" outlineLevel="0" collapsed="false">
      <c r="B37" s="17"/>
      <c r="C37" s="17"/>
      <c r="D37" s="17"/>
    </row>
    <row r="38" customFormat="false" ht="15" hidden="false" customHeight="false" outlineLevel="0" collapsed="false">
      <c r="B38" s="17"/>
      <c r="C38" s="17"/>
      <c r="D38" s="17"/>
    </row>
  </sheetData>
  <mergeCells count="1">
    <mergeCell ref="B36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2026-06-10T21:56:55Z</dcterms:created>
  <dc:creator>openpyxl</dc:creator>
  <dc:description/>
  <dc:language>en-US</dc:language>
  <cp:lastModifiedBy/>
  <dcterms:modified xsi:type="dcterms:W3CDTF">2026-06-10T21:56:55Z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