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ation Payment" sheetId="1" state="visible" r:id="rId1"/>
    <sheet xmlns:r="http://schemas.openxmlformats.org/officeDocument/2006/relationships" name="Payment 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;(£#,##0);&quot;-&quot;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165" fontId="4" fillId="0" borderId="0" applyAlignment="1" pivotButton="0" quotePrefix="0" xfId="0">
      <alignment horizontal="right"/>
    </xf>
    <xf numFmtId="0" fontId="6" fillId="3" borderId="0" pivotButton="0" quotePrefix="0" xfId="0"/>
    <xf numFmtId="165" fontId="6" fillId="3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1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6" customWidth="1" min="5" max="5"/>
    <col width="30" customWidth="1" min="6" max="6"/>
  </cols>
  <sheetData>
    <row r="1">
      <c r="B1" s="1" t="inlineStr">
        <is>
          <t>Wexford Holdings Limited — Hale Termination Payment Schedule</t>
        </is>
      </c>
    </row>
    <row r="2">
      <c r="B2" s="2" t="inlineStr">
        <is>
          <t>Settlement agreement WC-00106  ·  Termination date 31 October 2025  ·  Prepared by Whitfield Carter LLP</t>
        </is>
      </c>
    </row>
    <row r="4">
      <c r="B4" s="3" t="inlineStr">
        <is>
          <t>TAX ASSUMPTIONS</t>
        </is>
      </c>
      <c r="C4" s="4" t="n"/>
      <c r="D4" s="4" t="n"/>
      <c r="E4" s="4" t="n"/>
      <c r="F4" s="4" t="n"/>
    </row>
    <row r="5">
      <c r="B5" s="5" t="inlineStr">
        <is>
          <t>Marginal income tax rate (additional rate)</t>
        </is>
      </c>
      <c r="C5" s="6" t="n">
        <v>0.45</v>
      </c>
    </row>
    <row r="6">
      <c r="B6" s="5" t="inlineStr">
        <is>
          <t>Employee NIC rate (above UEL)</t>
        </is>
      </c>
      <c r="C6" s="6" t="n">
        <v>0.02</v>
      </c>
    </row>
    <row r="7">
      <c r="B7" s="5" t="inlineStr">
        <is>
          <t>Employer NIC / Class 1A rate (2025/26)</t>
        </is>
      </c>
      <c r="C7" s="6" t="n">
        <v>0.15</v>
      </c>
    </row>
    <row r="8">
      <c r="B8" s="5" t="inlineStr">
        <is>
          <t>Tax-free threshold on ex gratia (s.401 ITEPA)</t>
        </is>
      </c>
      <c r="C8" s="7" t="n">
        <v>30000</v>
      </c>
    </row>
    <row r="9">
      <c r="B9" s="5" t="inlineStr">
        <is>
          <t>VAT rate</t>
        </is>
      </c>
      <c r="C9" s="6" t="n">
        <v>0.2</v>
      </c>
    </row>
    <row r="11">
      <c r="B11" s="8" t="inlineStr">
        <is>
          <t>PAYMENT ELEMENT</t>
        </is>
      </c>
      <c r="C11" s="9" t="inlineStr">
        <is>
          <t>GROSS</t>
        </is>
      </c>
      <c r="D11" s="9" t="inlineStr">
        <is>
          <t>TAXABLE</t>
        </is>
      </c>
      <c r="E11" s="9" t="inlineStr">
        <is>
          <t>NET TO EMPLOYEE</t>
        </is>
      </c>
      <c r="F11" s="9" t="inlineStr">
        <is>
          <t>TREATMENT</t>
        </is>
      </c>
    </row>
    <row r="12">
      <c r="B12" s="5" t="inlineStr">
        <is>
          <t>Payment in lieu of notice (6 months)</t>
        </is>
      </c>
      <c r="C12" s="7" t="n">
        <v>92500</v>
      </c>
      <c r="D12" s="10">
        <f>C12</f>
        <v/>
      </c>
      <c r="E12" s="10">
        <f>C12-D12*C5-C12*C6</f>
        <v/>
      </c>
      <c r="F12" s="2" t="inlineStr">
        <is>
          <t>PAYE + employee NIC (cl 2.2)</t>
        </is>
      </c>
    </row>
    <row r="13">
      <c r="B13" s="5" t="inlineStr">
        <is>
          <t>Accrued untaken holiday (10 days)</t>
        </is>
      </c>
      <c r="C13" s="7" t="n">
        <v>7115</v>
      </c>
      <c r="D13" s="10">
        <f>C13</f>
        <v/>
      </c>
      <c r="E13" s="10">
        <f>C13-D13*C5-C13*C6</f>
        <v/>
      </c>
      <c r="F13" s="2" t="inlineStr">
        <is>
          <t>PAYE + employee NIC (cl 2.3)</t>
        </is>
      </c>
    </row>
    <row r="14">
      <c r="B14" s="5" t="inlineStr">
        <is>
          <t>Ex gratia compensation payment</t>
        </is>
      </c>
      <c r="C14" s="7" t="n">
        <v>115000</v>
      </c>
      <c r="D14" s="10">
        <f>MAX(C14-C8,0)</f>
        <v/>
      </c>
      <c r="E14" s="10">
        <f>C14-D14*C5</f>
        <v/>
      </c>
      <c r="F14" s="2" t="inlineStr">
        <is>
          <t>First £30k tax-free; balance PAYE (cl 2.4)</t>
        </is>
      </c>
    </row>
    <row r="15">
      <c r="B15" s="11" t="inlineStr">
        <is>
          <t>TOTAL TO EMPLOYEE</t>
        </is>
      </c>
      <c r="C15" s="12">
        <f>SUM(C12:C14)</f>
        <v/>
      </c>
      <c r="D15" s="12">
        <f>SUM(D12:D14)</f>
        <v/>
      </c>
      <c r="E15" s="12">
        <f>SUM(E12:E14)</f>
        <v/>
      </c>
      <c r="F15" s="13" t="n"/>
    </row>
    <row r="17">
      <c r="B17" s="3" t="inlineStr">
        <is>
          <t>TOTAL COST TO COMPANY</t>
        </is>
      </c>
      <c r="C17" s="4" t="n"/>
      <c r="D17" s="4" t="n"/>
      <c r="E17" s="4" t="n"/>
      <c r="F17" s="4" t="n"/>
    </row>
    <row r="18">
      <c r="B18" s="5" t="inlineStr">
        <is>
          <t>Gross payments to employee</t>
        </is>
      </c>
      <c r="E18" s="10">
        <f>C15</f>
        <v/>
      </c>
    </row>
    <row r="19">
      <c r="B19" s="5" t="inlineStr">
        <is>
          <t>Employer NIC on PILON &amp; holiday</t>
        </is>
      </c>
      <c r="E19" s="10">
        <f>(C12+C13)*C7</f>
        <v/>
      </c>
    </row>
    <row r="20">
      <c r="B20" s="5" t="inlineStr">
        <is>
          <t>Employer Class 1A on ex gratia over £30k</t>
        </is>
      </c>
      <c r="E20" s="10">
        <f>D14*C7</f>
        <v/>
      </c>
    </row>
    <row r="21">
      <c r="B21" s="5" t="inlineStr">
        <is>
          <t>Contribution to employee legal fees (£750 + VAT)</t>
        </is>
      </c>
      <c r="E21" s="10">
        <f>750*(1+C9)</f>
        <v/>
      </c>
    </row>
    <row r="22">
      <c r="B22" s="5" t="inlineStr">
        <is>
          <t>Outplacement support (£5,000 + VAT)</t>
        </is>
      </c>
      <c r="E22" s="10">
        <f>5000*(1+C9)</f>
        <v/>
      </c>
    </row>
    <row r="23">
      <c r="B23" s="11" t="inlineStr">
        <is>
          <t>TOTAL COST TO COMPANY</t>
        </is>
      </c>
      <c r="E23" s="12">
        <f>SUM(E18:E22)</f>
        <v/>
      </c>
    </row>
    <row r="25">
      <c r="B25" s="14" t="inlineStr">
        <is>
          <t>Reconciliation: total gross to employee ties to the settlement consideration of £214,615 (PILON £92,500 + holiday £7,115 + ex gratia £115,000). Figures consistent with the executed settlement agreement (clauses 2.2–2.6).</t>
        </is>
      </c>
    </row>
    <row r="26"/>
  </sheetData>
  <mergeCells count="1">
    <mergeCell ref="B25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40" customWidth="1" min="4" max="4"/>
  </cols>
  <sheetData>
    <row r="1">
      <c r="B1" s="1" t="inlineStr">
        <is>
          <t>Payment Timeline &amp; Conditions</t>
        </is>
      </c>
    </row>
    <row r="3">
      <c r="B3" s="8" t="inlineStr">
        <is>
          <t>Event</t>
        </is>
      </c>
      <c r="C3" s="9" t="inlineStr">
        <is>
          <t>Date</t>
        </is>
      </c>
      <c r="D3" s="9" t="inlineStr">
        <is>
          <t>Note</t>
        </is>
      </c>
    </row>
    <row r="4">
      <c r="B4" s="15" t="inlineStr">
        <is>
          <t>Termination Date</t>
        </is>
      </c>
      <c r="C4" s="16" t="inlineStr">
        <is>
          <t>31 Oct 2025</t>
        </is>
      </c>
      <c r="D4" s="17" t="inlineStr">
        <is>
          <t>Employment ends; salary/benefits to date paid</t>
        </is>
      </c>
    </row>
    <row r="5">
      <c r="B5" s="15" t="inlineStr">
        <is>
          <t>Settlement agreement signed</t>
        </is>
      </c>
      <c r="C5" s="16" t="inlineStr">
        <is>
          <t>19 Nov 2025</t>
        </is>
      </c>
      <c r="D5" s="17" t="inlineStr">
        <is>
          <t>Employee + adviser certificate received</t>
        </is>
      </c>
    </row>
    <row r="6">
      <c r="B6" s="15" t="inlineStr">
        <is>
          <t>Adviser's certificate received</t>
        </is>
      </c>
      <c r="C6" s="16" t="inlineStr">
        <is>
          <t>19 Nov 2025</t>
        </is>
      </c>
      <c r="D6" s="17" t="inlineStr">
        <is>
          <t>Schedule 1 signed by Eleanor Bartlett</t>
        </is>
      </c>
    </row>
    <row r="7">
      <c r="B7" s="15" t="inlineStr">
        <is>
          <t>Payments due (cl 2.7)</t>
        </is>
      </c>
      <c r="C7" s="16" t="inlineStr">
        <is>
          <t>by 17 Dec 2025</t>
        </is>
      </c>
      <c r="D7" s="17" t="inlineStr">
        <is>
          <t>Within 28 days of later of Termination Date and signature</t>
        </is>
      </c>
    </row>
    <row r="8">
      <c r="B8" s="15" t="inlineStr">
        <is>
          <t>Tribunal claim withdrawn (cl 12)</t>
        </is>
      </c>
      <c r="C8" s="16" t="inlineStr">
        <is>
          <t>by 26 Nov 2025</t>
        </is>
      </c>
      <c r="D8" s="17" t="inlineStr">
        <is>
          <t>Within 7 days of agreement taking effect</t>
        </is>
      </c>
    </row>
    <row r="9">
      <c r="B9" s="15" t="inlineStr">
        <is>
          <t>Legal fee invoice settled</t>
        </is>
      </c>
      <c r="C9" s="16" t="inlineStr">
        <is>
          <t>on receipt</t>
        </is>
      </c>
      <c r="D9" s="17" t="inlineStr">
        <is>
          <t>£750 + VAT direct to Ashworth Quinn LLP</t>
        </is>
      </c>
    </row>
    <row r="10">
      <c r="B10" s="15" t="inlineStr">
        <is>
          <t>Outplacement to be used by</t>
        </is>
      </c>
      <c r="C10" s="16" t="inlineStr">
        <is>
          <t>30 Apr 2026</t>
        </is>
      </c>
      <c r="D10" s="17" t="inlineStr">
        <is>
          <t>Within 6 months of Termination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2026-06-10T21:56:55Z</dcterms:created>
  <dcterms:modified xmlns:dcterms="http://purl.org/dc/terms/" xmlns:xsi="http://www.w3.org/2001/XMLSchema-instance" xsi:type="dcterms:W3CDTF">2026-06-10T21:56:55Z</dcterms:modified>
</cp:coreProperties>
</file>