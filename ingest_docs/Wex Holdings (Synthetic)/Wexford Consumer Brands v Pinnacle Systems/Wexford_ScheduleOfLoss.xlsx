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;[Red](£#,##0)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i val="1"/>
      <color rgb="00595959"/>
    </font>
    <font>
      <i val="1"/>
      <color rgb="00808080"/>
      <sz val="9"/>
    </font>
    <font>
      <name val="Calibri"/>
      <b val="1"/>
    </font>
    <font>
      <name val="Calibri"/>
      <b val="1"/>
      <color rgb="00FFFFFF"/>
      <sz val="11"/>
    </font>
    <font>
      <b val="1"/>
      <sz val="12"/>
    </font>
    <font>
      <i val="1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2" borderId="1" pivotButton="0" quotePrefix="0" xfId="0"/>
    <xf numFmtId="0" fontId="0" fillId="2" borderId="1" pivotButton="0" quotePrefix="0" xfId="0"/>
    <xf numFmtId="164" fontId="4" fillId="2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0" fontId="7" fillId="0" borderId="0" pivotButton="0" quotePrefix="0" xfId="0"/>
    <xf numFmtId="0" fontId="8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6" customWidth="1" min="2" max="2"/>
    <col width="16" customWidth="1" min="3" max="3"/>
  </cols>
  <sheetData>
    <row r="1">
      <c r="A1" s="1" t="inlineStr">
        <is>
          <t>Wexford Consumer Brands Limited v Pinnacle Systems Limited</t>
        </is>
      </c>
    </row>
    <row r="2">
      <c r="A2" s="2" t="inlineStr">
        <is>
          <t>Claim No. CC-2025-LON-000512  —  Schedule of Loss (served with Particulars of Claim)</t>
        </is>
      </c>
    </row>
    <row r="3">
      <c r="A3" s="3" t="inlineStr">
        <is>
          <t>Prepared by Whitfield Carter LLP. All figures exclusive of VAT unless stated. Updated 8 April 2025.</t>
        </is>
      </c>
    </row>
    <row r="5">
      <c r="A5" s="4" t="inlineStr">
        <is>
          <t>HEAD 1 — WASTED EXPENDITURE</t>
        </is>
      </c>
      <c r="B5" s="5" t="n"/>
      <c r="C5" s="5" t="n"/>
      <c r="D5" s="5" t="n"/>
    </row>
    <row r="6">
      <c r="A6" s="6" t="inlineStr">
        <is>
          <t>Item</t>
        </is>
      </c>
      <c r="B6" s="6" t="inlineStr">
        <is>
          <t>Note</t>
        </is>
      </c>
      <c r="C6" s="6" t="inlineStr">
        <is>
          <t>Amount (£)</t>
        </is>
      </c>
      <c r="D6" t="inlineStr"/>
    </row>
    <row r="7">
      <c r="A7" s="7" t="inlineStr">
        <is>
          <t>Licence fees paid to Pinnacle (clause 3.1)</t>
        </is>
      </c>
      <c r="B7" s="7" t="inlineStr">
        <is>
          <t>Paid 18 Mar 2024</t>
        </is>
      </c>
      <c r="C7" s="8" t="n">
        <v>640000</v>
      </c>
    </row>
    <row r="8">
      <c r="A8" s="7" t="inlineStr">
        <is>
          <t>Implementation / professional services fees paid to Pinnacle</t>
        </is>
      </c>
      <c r="B8" s="7" t="inlineStr">
        <is>
          <t>Stage payments to Nov 2024</t>
        </is>
      </c>
      <c r="C8" s="8" t="n">
        <v>980000</v>
      </c>
    </row>
    <row r="9">
      <c r="A9" s="7" t="inlineStr">
        <is>
          <t>Wexford internal project team costs (capitalised, thrown away)</t>
        </is>
      </c>
      <c r="B9" s="7" t="inlineStr">
        <is>
          <t>Time records WCB-PT</t>
        </is>
      </c>
      <c r="C9" s="8" t="n">
        <v>142000</v>
      </c>
    </row>
    <row r="10">
      <c r="A10" s="7" t="inlineStr">
        <is>
          <t>Third-party data-migration contractor (Meridian Data Ltd)</t>
        </is>
      </c>
      <c r="B10" s="7" t="inlineStr">
        <is>
          <t>Inv. MDL-2289/2301</t>
        </is>
      </c>
      <c r="C10" s="8" t="n">
        <v>58000</v>
      </c>
    </row>
    <row r="11">
      <c r="A11" s="7" t="inlineStr">
        <is>
          <t>Backfill / agency cover for seconded staff</t>
        </is>
      </c>
      <c r="B11" s="7" t="inlineStr">
        <is>
          <t>HR schedule</t>
        </is>
      </c>
      <c r="C11" s="8" t="n">
        <v>20000</v>
      </c>
    </row>
    <row r="12">
      <c r="A12" s="9" t="inlineStr">
        <is>
          <t>Subtotal — Head 1</t>
        </is>
      </c>
      <c r="B12" s="10" t="n"/>
      <c r="C12" s="11">
        <f>SUM(C7:C11)</f>
        <v/>
      </c>
    </row>
    <row r="14">
      <c r="A14" s="4" t="inlineStr">
        <is>
          <t>HEAD 2 — COST OF REPLACEMENT SYSTEM</t>
        </is>
      </c>
      <c r="B14" s="5" t="n"/>
      <c r="C14" s="5" t="n"/>
      <c r="D14" s="5" t="n"/>
    </row>
    <row r="15">
      <c r="A15" s="6" t="inlineStr">
        <is>
          <t>Item</t>
        </is>
      </c>
      <c r="B15" s="6" t="inlineStr">
        <is>
          <t>Note</t>
        </is>
      </c>
      <c r="C15" s="6" t="inlineStr">
        <is>
          <t>Amount (£)</t>
        </is>
      </c>
    </row>
    <row r="16">
      <c r="A16" s="7" t="inlineStr">
        <is>
          <t>Replacement ERP/WMS licence (Sage X3 / Körber)</t>
        </is>
      </c>
      <c r="B16" s="7" t="inlineStr">
        <is>
          <t>Quote 2025-114</t>
        </is>
      </c>
      <c r="C16" s="8" t="n">
        <v>295000</v>
      </c>
    </row>
    <row r="17">
      <c r="A17" s="7" t="inlineStr">
        <is>
          <t>Replacement implementation &amp; data migration</t>
        </is>
      </c>
      <c r="B17" s="7" t="inlineStr">
        <is>
          <t>SOW dated 3 Mar 2025</t>
        </is>
      </c>
      <c r="C17" s="8" t="n">
        <v>410000</v>
      </c>
    </row>
    <row r="18">
      <c r="A18" s="7" t="inlineStr">
        <is>
          <t>Incremental internal cost over original project</t>
        </is>
      </c>
      <c r="B18" s="7" t="inlineStr">
        <is>
          <t>Net of credits</t>
        </is>
      </c>
      <c r="C18" s="8" t="n">
        <v>55000</v>
      </c>
    </row>
    <row r="19">
      <c r="A19" s="9" t="inlineStr">
        <is>
          <t>Subtotal — Head 2</t>
        </is>
      </c>
      <c r="B19" s="10" t="n"/>
      <c r="C19" s="11">
        <f>SUM(C16:C18)</f>
        <v/>
      </c>
    </row>
    <row r="21">
      <c r="A21" s="4" t="inlineStr">
        <is>
          <t>HEAD 3 — BUSINESS INTERRUPTION &amp; LOSS OF PROFIT (Banbury go-live failure)</t>
        </is>
      </c>
      <c r="B21" s="5" t="n"/>
      <c r="C21" s="5" t="n"/>
      <c r="D21" s="5" t="n"/>
    </row>
    <row r="22">
      <c r="A22" s="6" t="inlineStr">
        <is>
          <t>Item</t>
        </is>
      </c>
      <c r="B22" s="6" t="inlineStr">
        <is>
          <t>Note</t>
        </is>
      </c>
      <c r="C22" s="6" t="inlineStr">
        <is>
          <t>Amount (£)</t>
        </is>
      </c>
    </row>
    <row r="23">
      <c r="A23" s="7" t="inlineStr">
        <is>
          <t>Lost gross margin on missed / cancelled orders (9-day shutdown)</t>
        </is>
      </c>
      <c r="B23" s="7" t="inlineStr">
        <is>
          <t>Sales var. analysis</t>
        </is>
      </c>
      <c r="C23" s="8" t="n">
        <v>612000</v>
      </c>
    </row>
    <row r="24">
      <c r="A24" s="7" t="inlineStr">
        <is>
          <t>Customer service-level penalties (two grocery multiples)</t>
        </is>
      </c>
      <c r="B24" s="7" t="inlineStr">
        <is>
          <t>Debit notes</t>
        </is>
      </c>
      <c r="C24" s="8" t="n">
        <v>188000</v>
      </c>
    </row>
    <row r="25">
      <c r="A25" s="7" t="inlineStr">
        <is>
          <t>Expedited / emergency haulage</t>
        </is>
      </c>
      <c r="B25" s="7" t="inlineStr">
        <is>
          <t>Carrier invoices</t>
        </is>
      </c>
      <c r="C25" s="8" t="n">
        <v>96000</v>
      </c>
    </row>
    <row r="26">
      <c r="A26" s="7" t="inlineStr">
        <is>
          <t>Agency labour for manual operation</t>
        </is>
      </c>
      <c r="B26" s="7" t="inlineStr">
        <is>
          <t>Timesheets</t>
        </is>
      </c>
      <c r="C26" s="8" t="n">
        <v>64000</v>
      </c>
    </row>
    <row r="27">
      <c r="A27" s="7" t="inlineStr">
        <is>
          <t>Stock write-off (spoilage during shutdown — chilled)</t>
        </is>
      </c>
      <c r="B27" s="7" t="inlineStr">
        <is>
          <t>Stock count</t>
        </is>
      </c>
      <c r="C27" s="8" t="n">
        <v>25000</v>
      </c>
    </row>
    <row r="28">
      <c r="A28" s="9" t="inlineStr">
        <is>
          <t>Subtotal — Head 3 (as amended 8 Apr 2025)</t>
        </is>
      </c>
      <c r="B28" s="10" t="n"/>
      <c r="C28" s="11">
        <f>SUM(C23:C27)</f>
        <v/>
      </c>
    </row>
    <row r="30">
      <c r="A30" s="12" t="inlineStr">
        <is>
          <t>TOTAL CLAIM (excluding interest)</t>
        </is>
      </c>
      <c r="B30" s="13" t="n"/>
      <c r="C30" s="14">
        <f>C12+C19+C28</f>
        <v/>
      </c>
    </row>
    <row r="32">
      <c r="A32" s="15" t="inlineStr">
        <is>
          <t>Interest (s.35A SCA 1981) — claimed at 8% to date of statement, continuing</t>
        </is>
      </c>
    </row>
    <row r="33">
      <c r="A33" s="16" t="inlineStr">
        <is>
          <t>Memo: charges actually paid to Pinnacle (relevant to clause 22.3 cap)</t>
        </is>
      </c>
      <c r="C33" s="17">
        <f>C7+C8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2026-06-25T18:05:26Z</dcterms:created>
  <dcterms:modified xmlns:dcterms="http://purl.org/dc/terms/" xmlns:xsi="http://www.w3.org/2001/XMLSchema-instance" xsi:type="dcterms:W3CDTF">2026-06-25T18:05:26Z</dcterms:modified>
</cp:coreProperties>
</file>