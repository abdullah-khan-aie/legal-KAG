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<sst xmlns="http://schemas.openxmlformats.org/spreadsheetml/2006/main" count="41" uniqueCount="35">
  <si>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Project Tempest — Completion Funds Flow Statement</t>
  </si>
  <si>
    <t xml:space="preserve">Wexford Consumer Brands Limited / Wexford Holdings Limited — Effective Date: 27 February 2026</t>
  </si>
  <si>
    <t xml:space="preserve">All amounts in GBP (£). Prepared by Whitfield Carter LLP. Figures agreed with Sterling Commercial Bank plc.</t>
  </si>
  <si>
    <t xml:space="preserve">SOURCES</t>
  </si>
  <si>
    <t xml:space="preserve">Provider</t>
  </si>
  <si>
    <t xml:space="preserve">Amount (£)</t>
  </si>
  <si>
    <t xml:space="preserve">Super-Senior Facility (Facility C) drawdown</t>
  </si>
  <si>
    <t xml:space="preserve">Sterling Commercial Bank plc</t>
  </si>
  <si>
    <t xml:space="preserve">Shareholder Contribution — new equity subscription</t>
  </si>
  <si>
    <t xml:space="preserve">Wexford Holdings Limited</t>
  </si>
  <si>
    <t xml:space="preserve">Shareholder Contribution — subordinated shareholder loan</t>
  </si>
  <si>
    <t xml:space="preserve">Total Sources</t>
  </si>
  <si>
    <t xml:space="preserve">USES</t>
  </si>
  <si>
    <t xml:space="preserve">Payee / Recipient</t>
  </si>
  <si>
    <t xml:space="preserve">Partial repayment of Facility B (RCF) — to £5.0m drawn</t>
  </si>
  <si>
    <t xml:space="preserve">Amendment fee (0.50% × £42.0m commitments)</t>
  </si>
  <si>
    <t xml:space="preserve">Super-Senior arrangement fee (2.00% × £8.0m)</t>
  </si>
  <si>
    <t xml:space="preserve">Agency &amp; security agency fees</t>
  </si>
  <si>
    <t xml:space="preserve">Lenders' legal costs</t>
  </si>
  <si>
    <t xml:space="preserve">Pemberton Rowe LLP</t>
  </si>
  <si>
    <t xml:space="preserve">Borrower's legal costs</t>
  </si>
  <si>
    <t xml:space="preserve">Whitfield Carter LLP</t>
  </si>
  <si>
    <t xml:space="preserve">Independent business review (IBR)</t>
  </si>
  <si>
    <t xml:space="preserve">Marlow Tax &amp; Advisory Ltd</t>
  </si>
  <si>
    <t xml:space="preserve">Valuation &amp; other professional costs</t>
  </si>
  <si>
    <t xml:space="preserve">Various</t>
  </si>
  <si>
    <t xml:space="preserve">Net cash to Borrower (working capital)</t>
  </si>
  <si>
    <t xml:space="preserve">Wexford Consumer Brands Limited</t>
  </si>
  <si>
    <t xml:space="preserve">Total Uses</t>
  </si>
  <si>
    <t xml:space="preserve">Check (Sources less Uses — must be nil)</t>
  </si>
  <si>
    <t xml:space="preserve">Notes:</t>
  </si>
  <si>
    <t xml:space="preserve">1. Facility A (£30.0m term loan) and the remaining Facility B drawing (£5.0m) continue under the amended and restated senior facilities agreement.</t>
  </si>
  <si>
    <t xml:space="preserve">2. Total senior + super-senior debt post-completion: Facility A £30.0m + Facility B £5.0m + Facility C £8.0m = £43.0m.</t>
  </si>
  <si>
    <t xml:space="preserve">3. Amendment fee calculated on total Facility A + Facility B commitments of £42.0m at 0.50%; arrangement fee on the £8.0m Super-Senior Facility at 2.00%.</t>
  </si>
  <si>
    <t xml:space="preserve">4. The £4.0m Shareholder Contribution comprises £2.0m new equity and a £2.0m subordinated shareholder loan, both subordinated under the Intercreditor Agreement.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</si>
</sst>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\£* #,##0_-;[RED]&quot;-£&quot;* #,##0_-;_-\£* \-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AA5B1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6" t="n">
        <v>8000000</v>
      </c>
    </row>
    <row r="7" customFormat="false" ht="15" hidden="false" customHeight="false" outlineLevel="0" collapsed="false">
      <c r="A7" s="4" t="s">
        <v>8</v>
      </c>
      <c r="B7" s="5" t="s">
        <v>9</v>
      </c>
      <c r="C7" s="6" t="n">
        <v>2000000</v>
      </c>
    </row>
    <row r="8" customFormat="false" ht="15" hidden="false" customHeight="false" outlineLevel="0" collapsed="false">
      <c r="A8" s="4" t="s">
        <v>10</v>
      </c>
      <c r="B8" s="5" t="s">
        <v>9</v>
      </c>
      <c r="C8" s="6" t="n">
        <v>2000000</v>
      </c>
    </row>
    <row r="9" customFormat="false" ht="15" hidden="false" customHeight="false" outlineLevel="0" collapsed="false">
      <c r="A9" s="7" t="s">
        <v>11</v>
      </c>
      <c r="B9" s="8"/>
      <c r="C9" s="8" t="n">
        <f aca="false">SUM(C6:C8)</f>
        <v>12000000</v>
      </c>
    </row>
    <row r="11" customFormat="false" ht="15" hidden="false" customHeight="false" outlineLevel="0" collapsed="false">
      <c r="A11" s="3" t="s">
        <v>12</v>
      </c>
      <c r="B11" s="3" t="s">
        <v>13</v>
      </c>
      <c r="C11" s="3" t="s">
        <v>5</v>
      </c>
    </row>
    <row r="12" customFormat="false" ht="15" hidden="false" customHeight="false" outlineLevel="0" collapsed="false">
      <c r="A12" s="4" t="s">
        <v>14</v>
      </c>
      <c r="B12" s="5" t="s">
        <v>7</v>
      </c>
      <c r="C12" s="6" t="n">
        <v>3000000</v>
      </c>
    </row>
    <row r="13" customFormat="false" ht="15" hidden="false" customHeight="false" outlineLevel="0" collapsed="false">
      <c r="A13" s="4" t="s">
        <v>15</v>
      </c>
      <c r="B13" s="5" t="s">
        <v>7</v>
      </c>
      <c r="C13" s="6" t="n">
        <v>210000</v>
      </c>
    </row>
    <row r="14" customFormat="false" ht="15" hidden="false" customHeight="false" outlineLevel="0" collapsed="false">
      <c r="A14" s="4" t="s">
        <v>16</v>
      </c>
      <c r="B14" s="5" t="s">
        <v>7</v>
      </c>
      <c r="C14" s="6" t="n">
        <v>160000</v>
      </c>
    </row>
    <row r="15" customFormat="false" ht="15" hidden="false" customHeight="false" outlineLevel="0" collapsed="false">
      <c r="A15" s="4" t="s">
        <v>17</v>
      </c>
      <c r="B15" s="5" t="s">
        <v>7</v>
      </c>
      <c r="C15" s="6" t="n">
        <v>35000</v>
      </c>
    </row>
    <row r="16" customFormat="false" ht="15" hidden="false" customHeight="false" outlineLevel="0" collapsed="false">
      <c r="A16" s="4" t="s">
        <v>18</v>
      </c>
      <c r="B16" s="5" t="s">
        <v>19</v>
      </c>
      <c r="C16" s="6" t="n">
        <v>185000</v>
      </c>
    </row>
    <row r="17" customFormat="false" ht="15" hidden="false" customHeight="false" outlineLevel="0" collapsed="false">
      <c r="A17" s="4" t="s">
        <v>20</v>
      </c>
      <c r="B17" s="5" t="s">
        <v>21</v>
      </c>
      <c r="C17" s="6" t="n">
        <v>240000</v>
      </c>
    </row>
    <row r="18" customFormat="false" ht="15" hidden="false" customHeight="false" outlineLevel="0" collapsed="false">
      <c r="A18" s="4" t="s">
        <v>22</v>
      </c>
      <c r="B18" s="5" t="s">
        <v>23</v>
      </c>
      <c r="C18" s="6" t="n">
        <v>130000</v>
      </c>
    </row>
    <row r="19" customFormat="false" ht="15" hidden="false" customHeight="false" outlineLevel="0" collapsed="false">
      <c r="A19" s="4" t="s">
        <v>24</v>
      </c>
      <c r="B19" s="5" t="s">
        <v>25</v>
      </c>
      <c r="C19" s="6" t="n">
        <v>40000</v>
      </c>
    </row>
    <row r="20" customFormat="false" ht="15" hidden="false" customHeight="false" outlineLevel="0" collapsed="false">
      <c r="A20" s="4" t="s">
        <v>26</v>
      </c>
      <c r="B20" s="5" t="s">
        <v>27</v>
      </c>
      <c r="C20" s="5" t="n">
        <f aca="false">C9-SUM(C12:C19)</f>
        <v>8000000</v>
      </c>
    </row>
    <row r="21" customFormat="false" ht="15" hidden="false" customHeight="false" outlineLevel="0" collapsed="false">
      <c r="A21" s="7" t="s">
        <v>28</v>
      </c>
      <c r="B21" s="8"/>
      <c r="C21" s="8" t="n">
        <f aca="false">SUM(C12:C20)</f>
        <v>12000000</v>
      </c>
    </row>
    <row r="23" customFormat="false" ht="15" hidden="false" customHeight="false" outlineLevel="0" collapsed="false">
      <c r="A23" s="9" t="s">
        <v>29</v>
      </c>
      <c r="B23" s="10"/>
      <c r="C23" s="10" t="n">
        <f aca="false">C9-C21</f>
        <v>0</v>
      </c>
    </row>
    <row r="25" customFormat="false" ht="15" hidden="false" customHeight="false" outlineLevel="0" collapsed="false">
      <c r="A25" s="2" t="s">
        <v>30</v>
      </c>
    </row>
    <row r="26" customFormat="false" ht="15" hidden="false" customHeight="false" outlineLevel="0" collapsed="false">
      <c r="A26" s="2" t="s">
        <v>31</v>
      </c>
    </row>
    <row r="27" customFormat="false" ht="15" hidden="false" customHeight="false" outlineLevel="0" collapsed="false">
      <c r="A27" s="2" t="s">
        <v>32</v>
      </c>
    </row>
    <row r="28" customFormat="false" ht="15" hidden="false" customHeight="false" outlineLevel="0" collapsed="false">
      <c r="A28" s="2" t="s">
        <v>33</v>
      </c>
    </row>
    <row r="29" customFormat="false" ht="15" hidden="false" customHeight="false" outlineLevel="0" collapsed="false">
      <c r="A29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2026-06-10T23:16:50Z</dcterms:created>
  <dc:creator>openpyxl</dc:creator>
  <dc:description/>
  <dc:language>en-US</dc:language>
  <cp:lastModifiedBy/>
  <dcterms:modified xsi:type="dcterms:W3CDTF">2026-06-10T23:16:50Z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