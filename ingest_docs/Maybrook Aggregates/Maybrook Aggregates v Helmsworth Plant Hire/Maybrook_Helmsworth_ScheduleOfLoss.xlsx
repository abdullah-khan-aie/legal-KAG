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;(£#,##0.00)"/>
    <numFmt numFmtId="165" formatCode="£#,##0;(£#,##0)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1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2" borderId="1" pivotButton="0" quotePrefix="0" xfId="0"/>
    <xf numFmtId="0" fontId="6" fillId="2" borderId="1" pivotButton="0" quotePrefix="0" xfId="0"/>
    <xf numFmtId="165" fontId="6" fillId="2" borderId="1" pivotButton="0" quotePrefix="0" xfId="0"/>
    <xf numFmtId="0" fontId="5" fillId="0" borderId="0" pivotButton="0" quotePrefix="0" xfId="0"/>
    <xf numFmtId="165" fontId="5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50" customWidth="1" min="3" max="3"/>
    <col width="11" customWidth="1" min="4" max="4"/>
    <col width="12" customWidth="1" min="5" max="5"/>
    <col width="16" customWidth="1" min="6" max="6"/>
  </cols>
  <sheetData>
    <row r="1">
      <c r="A1" s="1" t="inlineStr">
        <is>
          <t>Maybrook Aggregates Limited v Helmsworth Plant Hire Limited</t>
        </is>
      </c>
    </row>
    <row r="2">
      <c r="A2" s="2" t="inlineStr">
        <is>
          <t>Claim No. HT-2026-000142  –  Schedule of Loss</t>
        </is>
      </c>
    </row>
    <row r="3">
      <c r="A3" s="3" t="inlineStr">
        <is>
          <t>Prepared by Whitfield Carter LLP  |  Period: April – August 2025  |  All figures exclusive of VAT</t>
        </is>
      </c>
    </row>
    <row r="5">
      <c r="A5" s="4" t="inlineStr">
        <is>
          <t>Ref</t>
        </is>
      </c>
      <c r="B5" s="4" t="inlineStr">
        <is>
          <t>Head of loss</t>
        </is>
      </c>
      <c r="C5" s="4" t="inlineStr">
        <is>
          <t>Basis / particulars</t>
        </is>
      </c>
      <c r="D5" s="4" t="inlineStr">
        <is>
          <t>Days / units</t>
        </is>
      </c>
      <c r="E5" s="4" t="inlineStr">
        <is>
          <t>Rate (£)</t>
        </is>
      </c>
      <c r="F5" s="4" t="inlineStr">
        <is>
          <t>Amount (£)</t>
        </is>
      </c>
    </row>
    <row r="6">
      <c r="A6" s="5" t="inlineStr">
        <is>
          <t>1</t>
        </is>
      </c>
      <c r="B6" s="6" t="inlineStr">
        <is>
          <t>Replacement crushing &amp; screening hire-in</t>
        </is>
      </c>
      <c r="C6" s="6" t="inlineStr">
        <is>
          <t>Mobile contractor crushing engaged during 59 working days of stoppage</t>
        </is>
      </c>
      <c r="D6" s="7" t="n">
        <v>59</v>
      </c>
      <c r="E6" s="8" t="n">
        <v>8000</v>
      </c>
      <c r="F6" s="9">
        <f>D6*E6</f>
        <v/>
      </c>
    </row>
    <row r="7">
      <c r="A7" s="5" t="inlineStr">
        <is>
          <t>2</t>
        </is>
      </c>
      <c r="B7" s="6" t="inlineStr">
        <is>
          <t>Emergency repairs paid by Claimant (cl. 9 responsibility)</t>
        </is>
      </c>
      <c r="C7" s="6" t="inlineStr">
        <is>
          <t>Jaw toggle reseat, screen deck welding, drive bearing replacement, callouts</t>
        </is>
      </c>
      <c r="D7" s="10" t="n"/>
      <c r="E7" s="10" t="n"/>
      <c r="F7" s="9" t="n">
        <v>86500</v>
      </c>
    </row>
    <row r="8">
      <c r="A8" s="5" t="inlineStr">
        <is>
          <t>3</t>
        </is>
      </c>
      <c r="B8" s="6" t="inlineStr">
        <is>
          <t>Lost profit – stoppage periods</t>
        </is>
      </c>
      <c r="C8" s="6" t="inlineStr">
        <is>
          <t>Aggregate not produced during 59 days out of service @ 1,480 t/day net @ £6.95/t margin</t>
        </is>
      </c>
      <c r="D8" s="7" t="n">
        <v>87320</v>
      </c>
      <c r="E8" s="8" t="n">
        <v>6.95</v>
      </c>
      <c r="F8" s="9">
        <f>D8*E8</f>
        <v/>
      </c>
    </row>
    <row r="9">
      <c r="A9" s="5" t="inlineStr">
        <is>
          <t>4</t>
        </is>
      </c>
      <c r="B9" s="6" t="inlineStr">
        <is>
          <t>Lost profit – reduced throughput periods</t>
        </is>
      </c>
      <c r="C9" s="6" t="inlineStr">
        <is>
          <t>Shortfall vs 320 t/h on operating days (110 t/h x 1,180 operating hrs) @ £1.00/t margin equiv.</t>
        </is>
      </c>
      <c r="D9" s="10" t="n"/>
      <c r="E9" s="10" t="n"/>
      <c r="F9" s="9" t="n">
        <v>135226</v>
      </c>
    </row>
    <row r="10">
      <c r="A10" s="5" t="inlineStr">
        <is>
          <t>5</t>
        </is>
      </c>
      <c r="B10" s="6" t="inlineStr">
        <is>
          <t>Additional management &amp; labour time</t>
        </is>
      </c>
      <c r="C10" s="6" t="inlineStr">
        <is>
          <t>Operations management, fitters' overtime, abortive shifts</t>
        </is>
      </c>
      <c r="D10" s="10" t="n"/>
      <c r="E10" s="10" t="n"/>
      <c r="F10" s="9" t="n">
        <v>64400</v>
      </c>
    </row>
    <row r="11">
      <c r="A11" s="5" t="inlineStr">
        <is>
          <t>6</t>
        </is>
      </c>
      <c r="B11" s="6" t="inlineStr">
        <is>
          <t>Abortive haulage and demurrage</t>
        </is>
      </c>
      <c r="C11" s="6" t="inlineStr">
        <is>
          <t>Cancelled outbound loads, haulier standing charges, customer penalties</t>
        </is>
      </c>
      <c r="D11" s="10" t="n"/>
      <c r="E11" s="10" t="n"/>
      <c r="F11" s="9" t="n">
        <v>55000</v>
      </c>
    </row>
    <row r="12">
      <c r="A12" s="11" t="n"/>
      <c r="B12" s="12" t="inlineStr">
        <is>
          <t>TOTAL CLAIMED (excl. interest &amp; costs)</t>
        </is>
      </c>
      <c r="C12" s="11" t="n"/>
      <c r="D12" s="11" t="n"/>
      <c r="E12" s="11" t="n"/>
      <c r="F12" s="13">
        <f>SUM(F6:F11)</f>
        <v/>
      </c>
    </row>
    <row r="14">
      <c r="B14" s="2" t="inlineStr">
        <is>
          <t>Interest (s.35A Senior Courts Act 1981)</t>
        </is>
      </c>
      <c r="C14" s="14" t="inlineStr">
        <is>
          <t>Claimed at 2% over base on £1,420,000 from 3 Sep 2025 to trial; illustrative @ 8 months</t>
        </is>
      </c>
      <c r="F14" s="15">
        <f>F12*0.045*8/12</f>
        <v/>
      </c>
    </row>
    <row r="15">
      <c r="B15" s="2" t="inlineStr">
        <is>
          <t>Indicative total including interest</t>
        </is>
      </c>
      <c r="F15" s="16">
        <f>F12+F14</f>
        <v/>
      </c>
    </row>
    <row r="17">
      <c r="B17" s="3" t="inlineStr">
        <is>
          <t>Note: figures tie to the Particulars of Claim (total £1,420,000). Interest is illustrative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2026-06-30T16:56:55Z</dcterms:created>
  <dcterms:modified xmlns:dcterms="http://purl.org/dc/terms/" xmlns:xsi="http://www.w3.org/2001/XMLSchema-instance" xsi:type="dcterms:W3CDTF">2026-06-30T16:56:55Z</dcterms:modified>
</cp:coreProperties>
</file>