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<sst xmlns="http://schemas.openxmlformats.org/spreadsheetml/2006/main" count="51" uniqueCount="39">
  <si>
    <t xml:space="preserve">Project Harbor — Completion Funds Flow Statement</t>
  </si>
  <si>
    <t xml:space="preserve">Effective Date 19 January 2026 · all amounts £ · prepared by Whitfield Carter LLP</t>
  </si>
  <si>
    <t xml:space="preserve">#</t>
  </si>
  <si>
    <t xml:space="preserve">Step</t>
  </si>
  <si>
    <t xml:space="preserve">Payer</t>
  </si>
  <si>
    <t xml:space="preserve">Payee</t>
  </si>
  <si>
    <t xml:space="preserve">Amount (£)</t>
  </si>
  <si>
    <t xml:space="preserve">Value date</t>
  </si>
  <si>
    <t xml:space="preserve">1</t>
  </si>
  <si>
    <t xml:space="preserve">HFH subordinated loan into Blocked Account</t>
  </si>
  <si>
    <t xml:space="preserve">Harledge Family Holdings Ltd</t>
  </si>
  <si>
    <t xml:space="preserve">Blocked Account (Pennine)</t>
  </si>
  <si>
    <t xml:space="preserve">14-Jan-26</t>
  </si>
  <si>
    <t xml:space="preserve">2</t>
  </si>
  <si>
    <t xml:space="preserve">Super-Senior Tranche A drawdown</t>
  </si>
  <si>
    <t xml:space="preserve">Pennine Business Bank plc</t>
  </si>
  <si>
    <t xml:space="preserve">Harledge Foods Group Ltd</t>
  </si>
  <si>
    <t xml:space="preserve">19-Jan-26</t>
  </si>
  <si>
    <t xml:space="preserve">3</t>
  </si>
  <si>
    <t xml:space="preserve">Release of Subordinated Loan from Blocked Account</t>
  </si>
  <si>
    <t xml:space="preserve">4</t>
  </si>
  <si>
    <t xml:space="preserve">RCF over-utilisation repayment</t>
  </si>
  <si>
    <t xml:space="preserve">Pennine Business Bank plc (RCF)</t>
  </si>
  <si>
    <t xml:space="preserve">5</t>
  </si>
  <si>
    <t xml:space="preserve">Adviser &amp; legal costs (Marlow)</t>
  </si>
  <si>
    <t xml:space="preserve">Marlow Tax &amp; Advisory Ltd</t>
  </si>
  <si>
    <t xml:space="preserve">6</t>
  </si>
  <si>
    <t xml:space="preserve">Legal costs (Whitfield Carter LLP)</t>
  </si>
  <si>
    <t xml:space="preserve">Whitfield Carter LLP</t>
  </si>
  <si>
    <t xml:space="preserve">7</t>
  </si>
  <si>
    <t xml:space="preserve">Lender's legal costs (Pemberton Rowe)</t>
  </si>
  <si>
    <t xml:space="preserve">Pemberton Rowe LLP</t>
  </si>
  <si>
    <t xml:space="preserve">8</t>
  </si>
  <si>
    <t xml:space="preserve">Amendment &amp; arrangement fees (capitalised)</t>
  </si>
  <si>
    <t xml:space="preserve">n/a — added to facilities</t>
  </si>
  <si>
    <t xml:space="preserve">n/a</t>
  </si>
  <si>
    <t xml:space="preserve">Net cash to Company on completion</t>
  </si>
  <si>
    <t xml:space="preserve">Memo: new money £10.0m (Tranche A £5.0m + HFH £5.0m), less RCF paydown £3.4m and transaction costs £0.68m =</t>
  </si>
  <si>
    <t xml:space="preserve">net liquidity uplift on completion of £5.92m before the conditional £3.0m Tranche 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</si>
</sst>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4" min="3" style="0" width="3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5" t="n">
        <v>5000000</v>
      </c>
      <c r="F5" s="4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  <c r="D6" s="4" t="s">
        <v>16</v>
      </c>
      <c r="E6" s="5" t="n">
        <v>5000000</v>
      </c>
      <c r="F6" s="4" t="s">
        <v>17</v>
      </c>
    </row>
    <row r="7" customFormat="false" ht="15" hidden="false" customHeight="false" outlineLevel="0" collapsed="false">
      <c r="A7" s="4" t="s">
        <v>18</v>
      </c>
      <c r="B7" s="4" t="s">
        <v>19</v>
      </c>
      <c r="C7" s="4" t="s">
        <v>11</v>
      </c>
      <c r="D7" s="4" t="s">
        <v>16</v>
      </c>
      <c r="E7" s="5" t="n">
        <v>5000000</v>
      </c>
      <c r="F7" s="4" t="s">
        <v>17</v>
      </c>
    </row>
    <row r="8" customFormat="false" ht="15" hidden="false" customHeight="false" outlineLevel="0" collapsed="false">
      <c r="A8" s="4" t="s">
        <v>20</v>
      </c>
      <c r="B8" s="4" t="s">
        <v>21</v>
      </c>
      <c r="C8" s="4" t="s">
        <v>16</v>
      </c>
      <c r="D8" s="4" t="s">
        <v>22</v>
      </c>
      <c r="E8" s="6" t="n">
        <v>-3400000</v>
      </c>
      <c r="F8" s="4" t="s">
        <v>17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16</v>
      </c>
      <c r="D9" s="4" t="s">
        <v>25</v>
      </c>
      <c r="E9" s="6" t="n">
        <v>-310000</v>
      </c>
      <c r="F9" s="4" t="s">
        <v>17</v>
      </c>
    </row>
    <row r="10" customFormat="false" ht="15" hidden="false" customHeight="false" outlineLevel="0" collapsed="false">
      <c r="A10" s="4" t="s">
        <v>26</v>
      </c>
      <c r="B10" s="4" t="s">
        <v>27</v>
      </c>
      <c r="C10" s="4" t="s">
        <v>16</v>
      </c>
      <c r="D10" s="4" t="s">
        <v>28</v>
      </c>
      <c r="E10" s="6" t="n">
        <v>-205000</v>
      </c>
      <c r="F10" s="4" t="s">
        <v>17</v>
      </c>
    </row>
    <row r="11" customFormat="false" ht="15" hidden="false" customHeight="false" outlineLevel="0" collapsed="false">
      <c r="A11" s="4" t="s">
        <v>29</v>
      </c>
      <c r="B11" s="4" t="s">
        <v>30</v>
      </c>
      <c r="C11" s="4" t="s">
        <v>16</v>
      </c>
      <c r="D11" s="4" t="s">
        <v>31</v>
      </c>
      <c r="E11" s="6" t="n">
        <v>-165000</v>
      </c>
      <c r="F11" s="4" t="s">
        <v>17</v>
      </c>
    </row>
    <row r="12" customFormat="false" ht="15" hidden="false" customHeight="false" outlineLevel="0" collapsed="false">
      <c r="A12" s="4" t="s">
        <v>32</v>
      </c>
      <c r="B12" s="4" t="s">
        <v>33</v>
      </c>
      <c r="C12" s="4" t="s">
        <v>34</v>
      </c>
      <c r="D12" s="4" t="s">
        <v>35</v>
      </c>
      <c r="E12" s="6" t="n">
        <v>0</v>
      </c>
      <c r="F12" s="4" t="s">
        <v>17</v>
      </c>
    </row>
    <row r="13" customFormat="false" ht="15" hidden="false" customHeight="false" outlineLevel="0" collapsed="false">
      <c r="A13" s="7"/>
      <c r="B13" s="8" t="s">
        <v>36</v>
      </c>
      <c r="C13" s="7"/>
      <c r="D13" s="7"/>
      <c r="E13" s="9" t="n">
        <f aca="false">SUM(E5:E12)</f>
        <v>10920000</v>
      </c>
      <c r="F13" s="7"/>
    </row>
    <row r="15" customFormat="false" ht="15" hidden="false" customHeight="false" outlineLevel="0" collapsed="false">
      <c r="B15" s="10" t="s">
        <v>37</v>
      </c>
    </row>
    <row r="16" customFormat="false" ht="15" hidden="false" customHeight="false" outlineLevel="0" collapsed="false">
      <c r="B16" s="1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2026-06-29T14:43:41Z</dcterms:created>
  <dc:creator>openpyxl</dc:creator>
  <dc:description/>
  <dc:language>en-US</dc:language>
  <cp:lastModifiedBy/>
  <dcterms:modified xsi:type="dcterms:W3CDTF">2026-06-29T14:43:41Z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