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urces &amp; Us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<sst xmlns="http://schemas.openxmlformats.org/spreadsheetml/2006/main" count="33" uniqueCount="31">
  <si>
    <t xml:space="preserve">Project Harbor — Sources &amp; Uses of Funds</t>
  </si>
  <si>
    <t xml:space="preserve">Harledge Foods Group Limited · prepared by Whitfield Carter LLP · 14 January 2026 · £</t>
  </si>
  <si>
    <t xml:space="preserve">Sources</t>
  </si>
  <si>
    <t xml:space="preserve">Amount (£)</t>
  </si>
  <si>
    <t xml:space="preserve">Uses</t>
  </si>
  <si>
    <t xml:space="preserve">Super-Senior Facility – Tranche A</t>
  </si>
  <si>
    <t xml:space="preserve">Repay RCF over-utilisation / restore headroom</t>
  </si>
  <si>
    <t xml:space="preserve">Super-Senior Facility – Tranche B (conditional, Dec-25 milestone)</t>
  </si>
  <si>
    <t xml:space="preserve">Working capital build (H1 2026)</t>
  </si>
  <si>
    <t xml:space="preserve">Shareholder subordinated loan (HFH)</t>
  </si>
  <si>
    <t xml:space="preserve">Amendment fee (1.50% × £41.4m) — capitalised</t>
  </si>
  <si>
    <t xml:space="preserve">Total sources</t>
  </si>
  <si>
    <t xml:space="preserve">Arrangement fee (2.50% × £8.0m) — capitalised</t>
  </si>
  <si>
    <t xml:space="preserve">Adviser &amp; legal costs (IBR, WC, Pemberton Rowe)</t>
  </si>
  <si>
    <t xml:space="preserve">Check (sources − uses)</t>
  </si>
  <si>
    <t xml:space="preserve">Liquidity reserve / contingency</t>
  </si>
  <si>
    <t xml:space="preserve">Total uses</t>
  </si>
  <si>
    <t xml:space="preserve">Pro-forma debt structure</t>
  </si>
  <si>
    <t xml:space="preserve">Facility</t>
  </si>
  <si>
    <t xml:space="preserve">Pre-deal (£)</t>
  </si>
  <si>
    <t xml:space="preserve">New money (£)</t>
  </si>
  <si>
    <t xml:space="preserve">Post-deal (£)</t>
  </si>
  <si>
    <t xml:space="preserve">Ranking</t>
  </si>
  <si>
    <t xml:space="preserve">Super-Senior term facility</t>
  </si>
  <si>
    <t xml:space="preserve">1 – Super-senior</t>
  </si>
  <si>
    <t xml:space="preserve">Senior term loan</t>
  </si>
  <si>
    <t xml:space="preserve">2 – Senior</t>
  </si>
  <si>
    <t xml:space="preserve">Revolving credit facility (drawn)</t>
  </si>
  <si>
    <t xml:space="preserve">Shareholder subordinated loan</t>
  </si>
  <si>
    <t xml:space="preserve">3 – Subordinated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</si>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</sst>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£#,##0;&quot;(£&quot;#,##0\)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1F3864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16"/>
    <col collapsed="false" customWidth="true" hidden="false" outlineLevel="0" max="3" min="3" style="1" width="4"/>
    <col collapsed="false" customWidth="true" hidden="false" outlineLevel="0" max="4" min="4" style="1" width="44"/>
    <col collapsed="false" customWidth="true" hidden="false" outlineLevel="0" max="5" min="5" style="1" width="16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4" t="s">
        <v>3</v>
      </c>
      <c r="D4" s="4" t="s">
        <v>4</v>
      </c>
      <c r="E4" s="4" t="s">
        <v>3</v>
      </c>
    </row>
    <row r="5" customFormat="false" ht="15" hidden="false" customHeight="true" outlineLevel="0" collapsed="false">
      <c r="A5" s="5" t="s">
        <v>5</v>
      </c>
      <c r="B5" s="6" t="n">
        <v>5000000</v>
      </c>
      <c r="D5" s="5" t="s">
        <v>6</v>
      </c>
      <c r="E5" s="7" t="n">
        <v>3400000</v>
      </c>
    </row>
    <row r="6" customFormat="false" ht="15" hidden="false" customHeight="true" outlineLevel="0" collapsed="false">
      <c r="A6" s="5" t="s">
        <v>7</v>
      </c>
      <c r="B6" s="6" t="n">
        <v>3000000</v>
      </c>
      <c r="D6" s="5" t="s">
        <v>8</v>
      </c>
      <c r="E6" s="7" t="n">
        <v>4200000</v>
      </c>
    </row>
    <row r="7" customFormat="false" ht="15" hidden="false" customHeight="true" outlineLevel="0" collapsed="false">
      <c r="A7" s="5" t="s">
        <v>9</v>
      </c>
      <c r="B7" s="6" t="n">
        <v>5000000</v>
      </c>
      <c r="D7" s="5" t="s">
        <v>10</v>
      </c>
      <c r="E7" s="7" t="n">
        <v>621000</v>
      </c>
    </row>
    <row r="8" customFormat="false" ht="15" hidden="false" customHeight="true" outlineLevel="0" collapsed="false">
      <c r="A8" s="8" t="s">
        <v>11</v>
      </c>
      <c r="B8" s="9" t="n">
        <f aca="false">SUM(B5:B7)</f>
        <v>13000000</v>
      </c>
      <c r="D8" s="5" t="s">
        <v>12</v>
      </c>
      <c r="E8" s="7" t="n">
        <v>200000</v>
      </c>
    </row>
    <row r="9" customFormat="false" ht="15" hidden="false" customHeight="true" outlineLevel="0" collapsed="false">
      <c r="D9" s="5" t="s">
        <v>13</v>
      </c>
      <c r="E9" s="7" t="n">
        <v>1450000</v>
      </c>
    </row>
    <row r="10" customFormat="false" ht="15" hidden="false" customHeight="true" outlineLevel="0" collapsed="false">
      <c r="A10" s="10" t="s">
        <v>14</v>
      </c>
      <c r="B10" s="11" t="n">
        <f aca="false">B8-E11</f>
        <v>0</v>
      </c>
      <c r="D10" s="5" t="s">
        <v>15</v>
      </c>
      <c r="E10" s="7" t="n">
        <v>3129000</v>
      </c>
    </row>
    <row r="11" customFormat="false" ht="15" hidden="false" customHeight="true" outlineLevel="0" collapsed="false">
      <c r="D11" s="8" t="s">
        <v>16</v>
      </c>
      <c r="E11" s="9" t="n">
        <f aca="false">SUM(E5:E10)</f>
        <v>13000000</v>
      </c>
    </row>
    <row r="14" customFormat="false" ht="15" hidden="false" customHeight="true" outlineLevel="0" collapsed="false">
      <c r="A14" s="12" t="s">
        <v>17</v>
      </c>
    </row>
    <row r="15" customFormat="false" ht="77.25" hidden="false" customHeight="true" outlineLevel="0" collapsed="false">
      <c r="A15" s="4" t="s">
        <v>18</v>
      </c>
      <c r="B15" s="4" t="s">
        <v>19</v>
      </c>
      <c r="C15" s="4" t="s">
        <v>20</v>
      </c>
      <c r="D15" s="4" t="s">
        <v>21</v>
      </c>
      <c r="E15" s="4" t="s">
        <v>22</v>
      </c>
    </row>
    <row r="16" customFormat="false" ht="15" hidden="false" customHeight="true" outlineLevel="0" collapsed="false">
      <c r="A16" s="5" t="s">
        <v>23</v>
      </c>
      <c r="B16" s="6" t="n">
        <v>0</v>
      </c>
      <c r="C16" s="7" t="n">
        <f aca="false">B5+B6</f>
        <v>8000000</v>
      </c>
      <c r="D16" s="13" t="n">
        <f aca="false">B16+C16</f>
        <v>8000000</v>
      </c>
      <c r="E16" s="5" t="s">
        <v>24</v>
      </c>
    </row>
    <row r="17" customFormat="false" ht="15" hidden="false" customHeight="true" outlineLevel="0" collapsed="false">
      <c r="A17" s="5" t="s">
        <v>25</v>
      </c>
      <c r="B17" s="6" t="n">
        <v>30000000</v>
      </c>
      <c r="C17" s="7" t="n">
        <v>0</v>
      </c>
      <c r="D17" s="13" t="n">
        <f aca="false">B17+C17</f>
        <v>30000000</v>
      </c>
      <c r="E17" s="5" t="s">
        <v>26</v>
      </c>
    </row>
    <row r="18" customFormat="false" ht="15" hidden="false" customHeight="true" outlineLevel="0" collapsed="false">
      <c r="A18" s="5" t="s">
        <v>27</v>
      </c>
      <c r="B18" s="6" t="n">
        <v>11400000</v>
      </c>
      <c r="C18" s="7" t="n">
        <v>-3400000</v>
      </c>
      <c r="D18" s="13" t="n">
        <f aca="false">B18+C18</f>
        <v>8000000</v>
      </c>
      <c r="E18" s="5" t="s">
        <v>26</v>
      </c>
    </row>
    <row r="19" customFormat="false" ht="15" hidden="false" customHeight="true" outlineLevel="0" collapsed="false">
      <c r="A19" s="5" t="s">
        <v>28</v>
      </c>
      <c r="B19" s="6" t="n">
        <v>0</v>
      </c>
      <c r="C19" s="7" t="n">
        <v>5000000</v>
      </c>
      <c r="D19" s="13" t="n">
        <f aca="false">B19+C19</f>
        <v>5000000</v>
      </c>
      <c r="E19" s="5" t="s">
        <v>29</v>
      </c>
    </row>
    <row r="20" customFormat="false" ht="15" hidden="false" customHeight="true" outlineLevel="0" collapsed="false">
      <c r="A20" s="8" t="s">
        <v>30</v>
      </c>
      <c r="B20" s="9" t="n">
        <f aca="false">B16+B17+B18+B19</f>
        <v>41400000</v>
      </c>
      <c r="C20" s="9" t="n">
        <f aca="false">C16+C17+C18+C19</f>
        <v>9600000</v>
      </c>
      <c r="D20" s="9" t="n">
        <f aca="false">D16+D17+D18+D19</f>
        <v>51000000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2026-06-29T14:43:41Z</dcterms:created>
  <dc:creator>openpyxl</dc:creator>
  <dc:description/>
  <dc:language>en-US</dc:language>
  <cp:lastModifiedBy/>
  <dcterms:modified xsi:type="dcterms:W3CDTF">2026-06-29T14:44:14Z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