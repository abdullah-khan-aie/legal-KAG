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3-Week Cashflow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<sst xmlns="http://schemas.openxmlformats.org/spreadsheetml/2006/main" count="51" uniqueCount="51">
  <si>
    <t xml:space="preserve">Project Harbor — 13-Week Cashflow Forecast</t>
  </si>
  <si>
    <t xml:space="preserve">Harledge Foods Group Limited · base case · w/c 12 January 2026 · £'000</t>
  </si>
  <si>
    <t xml:space="preserve">Week (£'000)</t>
  </si>
  <si>
    <t xml:space="preserve">W1</t>
  </si>
  <si>
    <t xml:space="preserve">W2</t>
  </si>
  <si>
    <t xml:space="preserve">W3</t>
  </si>
  <si>
    <t xml:space="preserve">W4</t>
  </si>
  <si>
    <t xml:space="preserve">W5</t>
  </si>
  <si>
    <t xml:space="preserve">W6</t>
  </si>
  <si>
    <t xml:space="preserve">W7</t>
  </si>
  <si>
    <t xml:space="preserve">W8</t>
  </si>
  <si>
    <t xml:space="preserve">W9</t>
  </si>
  <si>
    <t xml:space="preserve">W10</t>
  </si>
  <si>
    <t xml:space="preserve">W11</t>
  </si>
  <si>
    <t xml:space="preserve">W12</t>
  </si>
  <si>
    <t xml:space="preserve">W13</t>
  </si>
  <si>
    <t xml:space="preserve">Week ending</t>
  </si>
  <si>
    <t xml:space="preserve">16-Jan</t>
  </si>
  <si>
    <t xml:space="preserve">23-Jan</t>
  </si>
  <si>
    <t xml:space="preserve">30-Jan</t>
  </si>
  <si>
    <t xml:space="preserve">06-Feb</t>
  </si>
  <si>
    <t xml:space="preserve">13-Feb</t>
  </si>
  <si>
    <t xml:space="preserve">20-Feb</t>
  </si>
  <si>
    <t xml:space="preserve">27-Feb</t>
  </si>
  <si>
    <t xml:space="preserve">06-Mar</t>
  </si>
  <si>
    <t xml:space="preserve">13-Mar</t>
  </si>
  <si>
    <t xml:space="preserve">20-Mar</t>
  </si>
  <si>
    <t xml:space="preserve">27-Mar</t>
  </si>
  <si>
    <t xml:space="preserve">03-Apr</t>
  </si>
  <si>
    <t xml:space="preserve">10-Apr</t>
  </si>
  <si>
    <t xml:space="preserve">Opening cash</t>
  </si>
  <si>
    <t xml:space="preserve">RECEIPTS</t>
  </si>
  <si>
    <t xml:space="preserve">Grocery multiples</t>
  </si>
  <si>
    <t xml:space="preserve">Food-service</t>
  </si>
  <si>
    <t xml:space="preserve">Other / sundry</t>
  </si>
  <si>
    <t xml:space="preserve">Total receipts</t>
  </si>
  <si>
    <t xml:space="preserve">PAYMENTS</t>
  </si>
  <si>
    <t xml:space="preserve">Raw materials &amp; packaging</t>
  </si>
  <si>
    <t xml:space="preserve">Payroll</t>
  </si>
  <si>
    <t xml:space="preserve">Energy &amp; utilities</t>
  </si>
  <si>
    <t xml:space="preserve">Logistics &amp; distribution</t>
  </si>
  <si>
    <t xml:space="preserve">Rent, rates &amp; overheads</t>
  </si>
  <si>
    <t xml:space="preserve">Senior interest &amp; fees</t>
  </si>
  <si>
    <t xml:space="preserve">Restructuring adviser/legal costs</t>
  </si>
  <si>
    <t xml:space="preserve">Capex (maintenance)</t>
  </si>
  <si>
    <t xml:space="preserve">Total payments</t>
  </si>
  <si>
    <t xml:space="preserve">Net cashflow</t>
  </si>
  <si>
    <t xml:space="preserve">New money drawn (Tranche A + HFH)</t>
  </si>
  <si>
    <t xml:space="preserve">Closing cash</t>
  </si>
  <si>
    <t xml:space="preserve">Minimum liquidity covenant (£2.5m)</t>
  </si>
  <si>
    <t xml:space="preserve">Headroom over covenant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</si>
</sst>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name val="Arial"/>
      <family val="0"/>
      <charset val="1"/>
    </font>
    <font>
      <i val="true"/>
      <sz val="8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F3864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14" min="2" style="0" width="9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15" hidden="false" customHeight="false" outlineLevel="0" collapsed="false">
      <c r="A5" s="4" t="s">
        <v>16</v>
      </c>
      <c r="B5" s="5" t="s">
        <v>17</v>
      </c>
      <c r="C5" s="5" t="s">
        <v>18</v>
      </c>
      <c r="D5" s="5" t="s">
        <v>19</v>
      </c>
      <c r="E5" s="5" t="s">
        <v>20</v>
      </c>
      <c r="F5" s="5" t="s">
        <v>21</v>
      </c>
      <c r="G5" s="5" t="s">
        <v>22</v>
      </c>
      <c r="H5" s="5" t="s">
        <v>23</v>
      </c>
      <c r="I5" s="5" t="s">
        <v>24</v>
      </c>
      <c r="J5" s="5" t="s">
        <v>25</v>
      </c>
      <c r="K5" s="5" t="s">
        <v>26</v>
      </c>
      <c r="L5" s="5" t="s">
        <v>27</v>
      </c>
      <c r="M5" s="5" t="s">
        <v>28</v>
      </c>
      <c r="N5" s="5" t="s">
        <v>29</v>
      </c>
    </row>
    <row r="6" customFormat="false" ht="15" hidden="false" customHeight="false" outlineLevel="0" collapsed="false">
      <c r="A6" s="6" t="s">
        <v>30</v>
      </c>
      <c r="B6" s="7" t="n">
        <v>1850</v>
      </c>
      <c r="C6" s="8" t="n">
        <f aca="false">B24</f>
        <v>11530</v>
      </c>
      <c r="D6" s="8" t="n">
        <f aca="false">C24</f>
        <v>11765</v>
      </c>
      <c r="E6" s="8" t="n">
        <f aca="false">D24</f>
        <v>11644</v>
      </c>
      <c r="F6" s="8" t="n">
        <f aca="false">E24</f>
        <v>11337</v>
      </c>
      <c r="G6" s="8" t="n">
        <f aca="false">F24</f>
        <v>11321</v>
      </c>
      <c r="H6" s="8" t="n">
        <f aca="false">G24</f>
        <v>11703</v>
      </c>
      <c r="I6" s="8" t="n">
        <f aca="false">H24</f>
        <v>11546</v>
      </c>
      <c r="J6" s="8" t="n">
        <f aca="false">I24</f>
        <v>11947</v>
      </c>
      <c r="K6" s="8" t="n">
        <f aca="false">J24</f>
        <v>11831</v>
      </c>
      <c r="L6" s="8" t="n">
        <f aca="false">K24</f>
        <v>11735</v>
      </c>
      <c r="M6" s="8" t="n">
        <f aca="false">L24</f>
        <v>11772</v>
      </c>
      <c r="N6" s="8" t="n">
        <f aca="false">M24</f>
        <v>12210</v>
      </c>
    </row>
    <row r="7" customFormat="false" ht="15" hidden="false" customHeight="false" outlineLevel="0" collapsed="false">
      <c r="A7" s="9" t="s">
        <v>31</v>
      </c>
    </row>
    <row r="8" customFormat="false" ht="15" hidden="false" customHeight="false" outlineLevel="0" collapsed="false">
      <c r="A8" s="10" t="s">
        <v>32</v>
      </c>
      <c r="B8" s="7" t="n">
        <v>820</v>
      </c>
      <c r="C8" s="7" t="n">
        <v>790</v>
      </c>
      <c r="D8" s="7" t="n">
        <v>810</v>
      </c>
      <c r="E8" s="7" t="n">
        <v>860</v>
      </c>
      <c r="F8" s="7" t="n">
        <v>900</v>
      </c>
      <c r="G8" s="7" t="n">
        <v>880</v>
      </c>
      <c r="H8" s="7" t="n">
        <v>870</v>
      </c>
      <c r="I8" s="7" t="n">
        <v>910</v>
      </c>
      <c r="J8" s="7" t="n">
        <v>930</v>
      </c>
      <c r="K8" s="7" t="n">
        <v>920</v>
      </c>
      <c r="L8" s="7" t="n">
        <v>940</v>
      </c>
      <c r="M8" s="7" t="n">
        <v>960</v>
      </c>
      <c r="N8" s="7" t="n">
        <v>950</v>
      </c>
    </row>
    <row r="9" customFormat="false" ht="15" hidden="false" customHeight="false" outlineLevel="0" collapsed="false">
      <c r="A9" s="10" t="s">
        <v>33</v>
      </c>
      <c r="B9" s="7" t="n">
        <v>310</v>
      </c>
      <c r="C9" s="7" t="n">
        <v>300</v>
      </c>
      <c r="D9" s="7" t="n">
        <v>295</v>
      </c>
      <c r="E9" s="7" t="n">
        <v>320</v>
      </c>
      <c r="F9" s="7" t="n">
        <v>330</v>
      </c>
      <c r="G9" s="7" t="n">
        <v>325</v>
      </c>
      <c r="H9" s="7" t="n">
        <v>330</v>
      </c>
      <c r="I9" s="7" t="n">
        <v>340</v>
      </c>
      <c r="J9" s="7" t="n">
        <v>345</v>
      </c>
      <c r="K9" s="7" t="n">
        <v>340</v>
      </c>
      <c r="L9" s="7" t="n">
        <v>350</v>
      </c>
      <c r="M9" s="7" t="n">
        <v>360</v>
      </c>
      <c r="N9" s="7" t="n">
        <v>355</v>
      </c>
    </row>
    <row r="10" customFormat="false" ht="15" hidden="false" customHeight="false" outlineLevel="0" collapsed="false">
      <c r="A10" s="10" t="s">
        <v>34</v>
      </c>
      <c r="B10" s="7" t="n">
        <v>40</v>
      </c>
      <c r="C10" s="7" t="n">
        <v>35</v>
      </c>
      <c r="D10" s="7" t="n">
        <v>45</v>
      </c>
      <c r="E10" s="7" t="n">
        <v>38</v>
      </c>
      <c r="F10" s="7" t="n">
        <v>42</v>
      </c>
      <c r="G10" s="7" t="n">
        <v>40</v>
      </c>
      <c r="H10" s="7" t="n">
        <v>44</v>
      </c>
      <c r="I10" s="7" t="n">
        <v>41</v>
      </c>
      <c r="J10" s="7" t="n">
        <v>43</v>
      </c>
      <c r="K10" s="7" t="n">
        <v>45</v>
      </c>
      <c r="L10" s="7" t="n">
        <v>42</v>
      </c>
      <c r="M10" s="7" t="n">
        <v>46</v>
      </c>
      <c r="N10" s="7" t="n">
        <v>44</v>
      </c>
    </row>
    <row r="11" customFormat="false" ht="15" hidden="false" customHeight="false" outlineLevel="0" collapsed="false">
      <c r="A11" s="6" t="s">
        <v>35</v>
      </c>
      <c r="B11" s="11" t="n">
        <f aca="false">SUM(B8:B10)</f>
        <v>1170</v>
      </c>
      <c r="C11" s="11" t="n">
        <f aca="false">SUM(C8:C10)</f>
        <v>1125</v>
      </c>
      <c r="D11" s="11" t="n">
        <f aca="false">SUM(D8:D10)</f>
        <v>1150</v>
      </c>
      <c r="E11" s="11" t="n">
        <f aca="false">SUM(E8:E10)</f>
        <v>1218</v>
      </c>
      <c r="F11" s="11" t="n">
        <f aca="false">SUM(F8:F10)</f>
        <v>1272</v>
      </c>
      <c r="G11" s="11" t="n">
        <f aca="false">SUM(G8:G10)</f>
        <v>1245</v>
      </c>
      <c r="H11" s="11" t="n">
        <f aca="false">SUM(H8:H10)</f>
        <v>1244</v>
      </c>
      <c r="I11" s="11" t="n">
        <f aca="false">SUM(I8:I10)</f>
        <v>1291</v>
      </c>
      <c r="J11" s="11" t="n">
        <f aca="false">SUM(J8:J10)</f>
        <v>1318</v>
      </c>
      <c r="K11" s="11" t="n">
        <f aca="false">SUM(K8:K10)</f>
        <v>1305</v>
      </c>
      <c r="L11" s="11" t="n">
        <f aca="false">SUM(L8:L10)</f>
        <v>1332</v>
      </c>
      <c r="M11" s="11" t="n">
        <f aca="false">SUM(M8:M10)</f>
        <v>1366</v>
      </c>
      <c r="N11" s="11" t="n">
        <f aca="false">SUM(N8:N10)</f>
        <v>1349</v>
      </c>
    </row>
    <row r="12" customFormat="false" ht="15" hidden="false" customHeight="false" outlineLevel="0" collapsed="false">
      <c r="A12" s="9" t="s">
        <v>36</v>
      </c>
    </row>
    <row r="13" customFormat="false" ht="15" hidden="false" customHeight="false" outlineLevel="0" collapsed="false">
      <c r="A13" s="10" t="s">
        <v>37</v>
      </c>
      <c r="B13" s="7" t="n">
        <v>-560</v>
      </c>
      <c r="C13" s="7" t="n">
        <v>-540</v>
      </c>
      <c r="D13" s="7" t="n">
        <v>-555</v>
      </c>
      <c r="E13" s="7" t="n">
        <v>-580</v>
      </c>
      <c r="F13" s="7" t="n">
        <v>-600</v>
      </c>
      <c r="G13" s="7" t="n">
        <v>-590</v>
      </c>
      <c r="H13" s="7" t="n">
        <v>-585</v>
      </c>
      <c r="I13" s="7" t="n">
        <v>-610</v>
      </c>
      <c r="J13" s="7" t="n">
        <v>-620</v>
      </c>
      <c r="K13" s="7" t="n">
        <v>-615</v>
      </c>
      <c r="L13" s="7" t="n">
        <v>-625</v>
      </c>
      <c r="M13" s="7" t="n">
        <v>-640</v>
      </c>
      <c r="N13" s="7" t="n">
        <v>-630</v>
      </c>
    </row>
    <row r="14" customFormat="false" ht="15" hidden="false" customHeight="false" outlineLevel="0" collapsed="false">
      <c r="A14" s="10" t="s">
        <v>38</v>
      </c>
      <c r="B14" s="7" t="n">
        <v>-420</v>
      </c>
      <c r="C14" s="7" t="n">
        <v>-30</v>
      </c>
      <c r="D14" s="7" t="n">
        <v>-420</v>
      </c>
      <c r="E14" s="7" t="n">
        <v>-30</v>
      </c>
      <c r="F14" s="7" t="n">
        <v>-420</v>
      </c>
      <c r="G14" s="7" t="n">
        <v>-30</v>
      </c>
      <c r="H14" s="7" t="n">
        <v>-420</v>
      </c>
      <c r="I14" s="7" t="n">
        <v>-30</v>
      </c>
      <c r="J14" s="7" t="n">
        <v>-420</v>
      </c>
      <c r="K14" s="7" t="n">
        <v>-30</v>
      </c>
      <c r="L14" s="7" t="n">
        <v>-420</v>
      </c>
      <c r="M14" s="7" t="n">
        <v>-30</v>
      </c>
      <c r="N14" s="7" t="n">
        <v>-420</v>
      </c>
    </row>
    <row r="15" customFormat="false" ht="15" hidden="false" customHeight="false" outlineLevel="0" collapsed="false">
      <c r="A15" s="10" t="s">
        <v>39</v>
      </c>
      <c r="B15" s="7" t="n">
        <v>-180</v>
      </c>
      <c r="C15" s="7" t="n">
        <v>-30</v>
      </c>
      <c r="D15" s="7" t="n">
        <v>-30</v>
      </c>
      <c r="E15" s="7" t="n">
        <v>-180</v>
      </c>
      <c r="F15" s="7" t="n">
        <v>-30</v>
      </c>
      <c r="G15" s="7" t="n">
        <v>-30</v>
      </c>
      <c r="H15" s="7" t="n">
        <v>-180</v>
      </c>
      <c r="I15" s="7" t="n">
        <v>-30</v>
      </c>
      <c r="J15" s="7" t="n">
        <v>-30</v>
      </c>
      <c r="K15" s="7" t="n">
        <v>-180</v>
      </c>
      <c r="L15" s="7" t="n">
        <v>-30</v>
      </c>
      <c r="M15" s="7" t="n">
        <v>-30</v>
      </c>
      <c r="N15" s="7" t="n">
        <v>-180</v>
      </c>
    </row>
    <row r="16" customFormat="false" ht="15" hidden="false" customHeight="false" outlineLevel="0" collapsed="false">
      <c r="A16" s="10" t="s">
        <v>40</v>
      </c>
      <c r="B16" s="7" t="n">
        <v>-110</v>
      </c>
      <c r="C16" s="7" t="n">
        <v>-105</v>
      </c>
      <c r="D16" s="7" t="n">
        <v>-108</v>
      </c>
      <c r="E16" s="7" t="n">
        <v>-115</v>
      </c>
      <c r="F16" s="7" t="n">
        <v>-120</v>
      </c>
      <c r="G16" s="7" t="n">
        <v>-118</v>
      </c>
      <c r="H16" s="7" t="n">
        <v>-116</v>
      </c>
      <c r="I16" s="7" t="n">
        <v>-122</v>
      </c>
      <c r="J16" s="7" t="n">
        <v>-124</v>
      </c>
      <c r="K16" s="7" t="n">
        <v>-123</v>
      </c>
      <c r="L16" s="7" t="n">
        <v>-125</v>
      </c>
      <c r="M16" s="7" t="n">
        <v>-128</v>
      </c>
      <c r="N16" s="7" t="n">
        <v>-126</v>
      </c>
    </row>
    <row r="17" customFormat="false" ht="15" hidden="false" customHeight="false" outlineLevel="0" collapsed="false">
      <c r="A17" s="10" t="s">
        <v>41</v>
      </c>
      <c r="B17" s="7" t="n">
        <v>-60</v>
      </c>
      <c r="C17" s="7" t="n">
        <v>-55</v>
      </c>
      <c r="D17" s="7" t="n">
        <v>-58</v>
      </c>
      <c r="E17" s="7" t="n">
        <v>-200</v>
      </c>
      <c r="F17" s="7" t="n">
        <v>-58</v>
      </c>
      <c r="G17" s="7" t="n">
        <v>-55</v>
      </c>
      <c r="H17" s="7" t="n">
        <v>-60</v>
      </c>
      <c r="I17" s="7" t="n">
        <v>-58</v>
      </c>
      <c r="J17" s="7" t="n">
        <v>-200</v>
      </c>
      <c r="K17" s="7" t="n">
        <v>-58</v>
      </c>
      <c r="L17" s="7" t="n">
        <v>-55</v>
      </c>
      <c r="M17" s="7" t="n">
        <v>-60</v>
      </c>
      <c r="N17" s="7" t="n">
        <v>-58</v>
      </c>
    </row>
    <row r="18" customFormat="false" ht="15" hidden="false" customHeight="false" outlineLevel="0" collapsed="false">
      <c r="A18" s="10" t="s">
        <v>42</v>
      </c>
      <c r="B18" s="7" t="n">
        <v>0</v>
      </c>
      <c r="C18" s="7" t="n">
        <v>0</v>
      </c>
      <c r="D18" s="7" t="n">
        <v>0</v>
      </c>
      <c r="E18" s="7" t="n">
        <v>-340</v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-355</v>
      </c>
      <c r="L18" s="7" t="n">
        <v>0</v>
      </c>
      <c r="M18" s="7" t="n">
        <v>0</v>
      </c>
      <c r="N18" s="7" t="n">
        <v>0</v>
      </c>
    </row>
    <row r="19" customFormat="false" ht="15" hidden="false" customHeight="false" outlineLevel="0" collapsed="false">
      <c r="A19" s="10" t="s">
        <v>43</v>
      </c>
      <c r="B19" s="7" t="n">
        <v>-120</v>
      </c>
      <c r="C19" s="7" t="n">
        <v>-90</v>
      </c>
      <c r="D19" s="7" t="n">
        <v>-60</v>
      </c>
      <c r="E19" s="7" t="n">
        <v>-40</v>
      </c>
      <c r="F19" s="7" t="n">
        <v>-20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  <c r="N19" s="7" t="n">
        <v>0</v>
      </c>
    </row>
    <row r="20" customFormat="false" ht="15" hidden="false" customHeight="false" outlineLevel="0" collapsed="false">
      <c r="A20" s="10" t="s">
        <v>44</v>
      </c>
      <c r="B20" s="7" t="n">
        <v>-40</v>
      </c>
      <c r="C20" s="7" t="n">
        <v>-40</v>
      </c>
      <c r="D20" s="7" t="n">
        <v>-40</v>
      </c>
      <c r="E20" s="7" t="n">
        <v>-40</v>
      </c>
      <c r="F20" s="7" t="n">
        <v>-40</v>
      </c>
      <c r="G20" s="7" t="n">
        <v>-40</v>
      </c>
      <c r="H20" s="7" t="n">
        <v>-40</v>
      </c>
      <c r="I20" s="7" t="n">
        <v>-40</v>
      </c>
      <c r="J20" s="7" t="n">
        <v>-40</v>
      </c>
      <c r="K20" s="7" t="n">
        <v>-40</v>
      </c>
      <c r="L20" s="7" t="n">
        <v>-40</v>
      </c>
      <c r="M20" s="7" t="n">
        <v>-40</v>
      </c>
      <c r="N20" s="7" t="n">
        <v>-40</v>
      </c>
    </row>
    <row r="21" customFormat="false" ht="15" hidden="false" customHeight="false" outlineLevel="0" collapsed="false">
      <c r="A21" s="6" t="s">
        <v>45</v>
      </c>
      <c r="B21" s="11" t="n">
        <f aca="false">SUM(B13:B20)</f>
        <v>-1490</v>
      </c>
      <c r="C21" s="11" t="n">
        <f aca="false">SUM(C13:C20)</f>
        <v>-890</v>
      </c>
      <c r="D21" s="11" t="n">
        <f aca="false">SUM(D13:D20)</f>
        <v>-1271</v>
      </c>
      <c r="E21" s="11" t="n">
        <f aca="false">SUM(E13:E20)</f>
        <v>-1525</v>
      </c>
      <c r="F21" s="11" t="n">
        <f aca="false">SUM(F13:F20)</f>
        <v>-1288</v>
      </c>
      <c r="G21" s="11" t="n">
        <f aca="false">SUM(G13:G20)</f>
        <v>-863</v>
      </c>
      <c r="H21" s="11" t="n">
        <f aca="false">SUM(H13:H20)</f>
        <v>-1401</v>
      </c>
      <c r="I21" s="11" t="n">
        <f aca="false">SUM(I13:I20)</f>
        <v>-890</v>
      </c>
      <c r="J21" s="11" t="n">
        <f aca="false">SUM(J13:J20)</f>
        <v>-1434</v>
      </c>
      <c r="K21" s="11" t="n">
        <f aca="false">SUM(K13:K20)</f>
        <v>-1401</v>
      </c>
      <c r="L21" s="11" t="n">
        <f aca="false">SUM(L13:L20)</f>
        <v>-1295</v>
      </c>
      <c r="M21" s="11" t="n">
        <f aca="false">SUM(M13:M20)</f>
        <v>-928</v>
      </c>
      <c r="N21" s="11" t="n">
        <f aca="false">SUM(N13:N20)</f>
        <v>-1454</v>
      </c>
    </row>
    <row r="22" customFormat="false" ht="15" hidden="false" customHeight="false" outlineLevel="0" collapsed="false">
      <c r="A22" s="6" t="s">
        <v>46</v>
      </c>
      <c r="B22" s="11" t="n">
        <f aca="false">B11+B21</f>
        <v>-320</v>
      </c>
      <c r="C22" s="11" t="n">
        <f aca="false">C11+C21</f>
        <v>235</v>
      </c>
      <c r="D22" s="11" t="n">
        <f aca="false">D11+D21</f>
        <v>-121</v>
      </c>
      <c r="E22" s="11" t="n">
        <f aca="false">E11+E21</f>
        <v>-307</v>
      </c>
      <c r="F22" s="11" t="n">
        <f aca="false">F11+F21</f>
        <v>-16</v>
      </c>
      <c r="G22" s="11" t="n">
        <f aca="false">G11+G21</f>
        <v>382</v>
      </c>
      <c r="H22" s="11" t="n">
        <f aca="false">H11+H21</f>
        <v>-157</v>
      </c>
      <c r="I22" s="11" t="n">
        <f aca="false">I11+I21</f>
        <v>401</v>
      </c>
      <c r="J22" s="11" t="n">
        <f aca="false">J11+J21</f>
        <v>-116</v>
      </c>
      <c r="K22" s="11" t="n">
        <f aca="false">K11+K21</f>
        <v>-96</v>
      </c>
      <c r="L22" s="11" t="n">
        <f aca="false">L11+L21</f>
        <v>37</v>
      </c>
      <c r="M22" s="11" t="n">
        <f aca="false">M11+M21</f>
        <v>438</v>
      </c>
      <c r="N22" s="11" t="n">
        <f aca="false">N11+N21</f>
        <v>-105</v>
      </c>
    </row>
    <row r="23" customFormat="false" ht="15" hidden="false" customHeight="false" outlineLevel="0" collapsed="false">
      <c r="A23" s="10" t="s">
        <v>47</v>
      </c>
      <c r="B23" s="7" t="n">
        <v>10000</v>
      </c>
      <c r="C23" s="7" t="n">
        <v>0</v>
      </c>
      <c r="D23" s="7" t="n">
        <v>0</v>
      </c>
      <c r="E23" s="7" t="n">
        <v>0</v>
      </c>
      <c r="F23" s="7" t="n">
        <v>0</v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7" t="n">
        <v>0</v>
      </c>
    </row>
    <row r="24" customFormat="false" ht="15" hidden="false" customHeight="false" outlineLevel="0" collapsed="false">
      <c r="A24" s="6" t="s">
        <v>48</v>
      </c>
      <c r="B24" s="12" t="n">
        <f aca="false">B6+B22+B23</f>
        <v>11530</v>
      </c>
      <c r="C24" s="12" t="n">
        <f aca="false">C6+C22+C23</f>
        <v>11765</v>
      </c>
      <c r="D24" s="12" t="n">
        <f aca="false">D6+D22+D23</f>
        <v>11644</v>
      </c>
      <c r="E24" s="12" t="n">
        <f aca="false">E6+E22+E23</f>
        <v>11337</v>
      </c>
      <c r="F24" s="12" t="n">
        <f aca="false">F6+F22+F23</f>
        <v>11321</v>
      </c>
      <c r="G24" s="12" t="n">
        <f aca="false">G6+G22+G23</f>
        <v>11703</v>
      </c>
      <c r="H24" s="12" t="n">
        <f aca="false">H6+H22+H23</f>
        <v>11546</v>
      </c>
      <c r="I24" s="12" t="n">
        <f aca="false">I6+I22+I23</f>
        <v>11947</v>
      </c>
      <c r="J24" s="12" t="n">
        <f aca="false">J6+J22+J23</f>
        <v>11831</v>
      </c>
      <c r="K24" s="12" t="n">
        <f aca="false">K6+K22+K23</f>
        <v>11735</v>
      </c>
      <c r="L24" s="12" t="n">
        <f aca="false">L6+L22+L23</f>
        <v>11772</v>
      </c>
      <c r="M24" s="12" t="n">
        <f aca="false">M6+M22+M23</f>
        <v>12210</v>
      </c>
      <c r="N24" s="12" t="n">
        <f aca="false">N6+N22+N23</f>
        <v>12105</v>
      </c>
    </row>
    <row r="25" customFormat="false" ht="15" hidden="false" customHeight="false" outlineLevel="0" collapsed="false">
      <c r="A25" s="10" t="s">
        <v>49</v>
      </c>
      <c r="B25" s="7" t="n">
        <v>2500</v>
      </c>
      <c r="C25" s="7" t="n">
        <v>2500</v>
      </c>
      <c r="D25" s="7" t="n">
        <v>2500</v>
      </c>
      <c r="E25" s="7" t="n">
        <v>2500</v>
      </c>
      <c r="F25" s="7" t="n">
        <v>2500</v>
      </c>
      <c r="G25" s="7" t="n">
        <v>2500</v>
      </c>
      <c r="H25" s="7" t="n">
        <v>2500</v>
      </c>
      <c r="I25" s="7" t="n">
        <v>2500</v>
      </c>
      <c r="J25" s="7" t="n">
        <v>2500</v>
      </c>
      <c r="K25" s="7" t="n">
        <v>2500</v>
      </c>
      <c r="L25" s="7" t="n">
        <v>2500</v>
      </c>
      <c r="M25" s="7" t="n">
        <v>2500</v>
      </c>
      <c r="N25" s="7" t="n">
        <v>2500</v>
      </c>
    </row>
    <row r="26" customFormat="false" ht="15" hidden="false" customHeight="false" outlineLevel="0" collapsed="false">
      <c r="A26" s="6" t="s">
        <v>50</v>
      </c>
      <c r="B26" s="11" t="n">
        <f aca="false">B24-B25</f>
        <v>9030</v>
      </c>
      <c r="C26" s="11" t="n">
        <f aca="false">C24-C25</f>
        <v>9265</v>
      </c>
      <c r="D26" s="11" t="n">
        <f aca="false">D24-D25</f>
        <v>9144</v>
      </c>
      <c r="E26" s="11" t="n">
        <f aca="false">E24-E25</f>
        <v>8837</v>
      </c>
      <c r="F26" s="11" t="n">
        <f aca="false">F24-F25</f>
        <v>8821</v>
      </c>
      <c r="G26" s="11" t="n">
        <f aca="false">G24-G25</f>
        <v>9203</v>
      </c>
      <c r="H26" s="11" t="n">
        <f aca="false">H24-H25</f>
        <v>9046</v>
      </c>
      <c r="I26" s="11" t="n">
        <f aca="false">I24-I25</f>
        <v>9447</v>
      </c>
      <c r="J26" s="11" t="n">
        <f aca="false">J24-J25</f>
        <v>9331</v>
      </c>
      <c r="K26" s="11" t="n">
        <f aca="false">K24-K25</f>
        <v>9235</v>
      </c>
      <c r="L26" s="11" t="n">
        <f aca="false">L24-L25</f>
        <v>9272</v>
      </c>
      <c r="M26" s="11" t="n">
        <f aca="false">M24-M25</f>
        <v>9710</v>
      </c>
      <c r="N26" s="11" t="n">
        <f aca="false">N24-N25</f>
        <v>9605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2026-06-29T14:43:41Z</dcterms:created>
  <dc:creator>openpyxl</dc:creator>
  <dc:description/>
  <dc:language>en-US</dc:language>
  <cp:lastModifiedBy/>
  <dcterms:modified xsi:type="dcterms:W3CDTF">2026-06-29T14:43:41Z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