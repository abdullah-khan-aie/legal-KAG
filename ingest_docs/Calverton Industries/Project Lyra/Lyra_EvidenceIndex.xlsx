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<sst xmlns="http://schemas.openxmlformats.org/spreadsheetml/2006/main" count="140" uniqueCount="98">
  <si>
    <t xml:space="preserve">Project Lyra — Evidence &amp; Document Index</t>
  </si>
  <si>
    <t xml:space="preserve">Calverton Industries Limited | HSE ref WM/SAN/2026/0488 | Maintained by Whitfield Carter LLP</t>
  </si>
  <si>
    <t xml:space="preserve">Ref</t>
  </si>
  <si>
    <t xml:space="preserve">Date</t>
  </si>
  <si>
    <t xml:space="preserve">Document / item</t>
  </si>
  <si>
    <t xml:space="preserve">Type</t>
  </si>
  <si>
    <t xml:space="preserve">Source / custodian</t>
  </si>
  <si>
    <t xml:space="preserve">Privilege</t>
  </si>
  <si>
    <t xml:space="preserve">Disclosed to HSE</t>
  </si>
  <si>
    <t xml:space="preserve">Notes</t>
  </si>
  <si>
    <t xml:space="preserve">E-001</t>
  </si>
  <si>
    <t xml:space="preserve">18/03/2026</t>
  </si>
  <si>
    <t xml:space="preserve">RIDDOR report — specified injury (F2508)</t>
  </si>
  <si>
    <t xml:space="preserve">Statutory report</t>
  </si>
  <si>
    <t xml:space="preserve">Calverton SHEQ</t>
  </si>
  <si>
    <t xml:space="preserve">No</t>
  </si>
  <si>
    <t xml:space="preserve">Yes</t>
  </si>
  <si>
    <t xml:space="preserve">Submitted day of incident</t>
  </si>
  <si>
    <t xml:space="preserve">E-002</t>
  </si>
  <si>
    <t xml:space="preserve">PLC fault / event log, cell CR-TR-12 (17–18 Mar)</t>
  </si>
  <si>
    <t xml:space="preserve">Machine data</t>
  </si>
  <si>
    <t xml:space="preserve">Engineering</t>
  </si>
  <si>
    <t xml:space="preserve">Shows interlock bypass from 09:48</t>
  </si>
  <si>
    <t xml:space="preserve">E-003</t>
  </si>
  <si>
    <t xml:space="preserve">CCTV footage, Bay 4 (13:00–14:30)</t>
  </si>
  <si>
    <t xml:space="preserve">CCTV</t>
  </si>
  <si>
    <t xml:space="preserve">Security</t>
  </si>
  <si>
    <t xml:space="preserve">Preserved; copy to HSE 25 Mar</t>
  </si>
  <si>
    <t xml:space="preserve">E-004</t>
  </si>
  <si>
    <t xml:space="preserve">19/03/2026</t>
  </si>
  <si>
    <t xml:space="preserve">HSE inspection notes / FFI notification</t>
  </si>
  <si>
    <t xml:space="preserve">Regulator</t>
  </si>
  <si>
    <t xml:space="preserve">HSE</t>
  </si>
  <si>
    <t xml:space="preserve">n/a</t>
  </si>
  <si>
    <t xml:space="preserve">Inspector K. Whitlow attended</t>
  </si>
  <si>
    <t xml:space="preserve">E-005</t>
  </si>
  <si>
    <t xml:space="preserve">2014–2026</t>
  </si>
  <si>
    <t xml:space="preserve">Maintenance log, cell CR-TR-12</t>
  </si>
  <si>
    <t xml:space="preserve">Records</t>
  </si>
  <si>
    <t xml:space="preserve">Full life of asset</t>
  </si>
  <si>
    <t xml:space="preserve">E-006</t>
  </si>
  <si>
    <t xml:space="preserve">12/06/2023</t>
  </si>
  <si>
    <t xml:space="preserve">PUWER suitability assessment, EX-class cells</t>
  </si>
  <si>
    <t xml:space="preserve">Risk assessment</t>
  </si>
  <si>
    <t xml:space="preserve">SHEQ</t>
  </si>
  <si>
    <t xml:space="preserve">Out of date — superseded May 2026</t>
  </si>
  <si>
    <t xml:space="preserve">E-007</t>
  </si>
  <si>
    <t xml:space="preserve">—</t>
  </si>
  <si>
    <t xml:space="preserve">Bay 4 risk assessment &amp; SSoW (clearing mis-rolls)</t>
  </si>
  <si>
    <t xml:space="preserve">Required isolation/lock-off</t>
  </si>
  <si>
    <t xml:space="preserve">E-008</t>
  </si>
  <si>
    <t xml:space="preserve">2018–2026</t>
  </si>
  <si>
    <t xml:space="preserve">Training records — Bay 4 operators (incl. W. Tully)</t>
  </si>
  <si>
    <t xml:space="preserve">HR</t>
  </si>
  <si>
    <t xml:space="preserve">Refreshers lapsed for several operators</t>
  </si>
  <si>
    <t xml:space="preserve">E-009</t>
  </si>
  <si>
    <t xml:space="preserve">17–18/03/2026</t>
  </si>
  <si>
    <t xml:space="preserve">Shift handover sheets</t>
  </si>
  <si>
    <t xml:space="preserve">Production</t>
  </si>
  <si>
    <t xml:space="preserve">E-010</t>
  </si>
  <si>
    <t xml:space="preserve">02/04/2026</t>
  </si>
  <si>
    <t xml:space="preserve">HSE Improvement Notice I/WM/2026/0488/01</t>
  </si>
  <si>
    <t xml:space="preserve">Compliance date 1 Jun 2026</t>
  </si>
  <si>
    <t xml:space="preserve">E-011</t>
  </si>
  <si>
    <t xml:space="preserve">16/04/2026</t>
  </si>
  <si>
    <t xml:space="preserve">Forensic engineering report (interlock failure)</t>
  </si>
  <si>
    <t xml:space="preserve">Expert</t>
  </si>
  <si>
    <t xml:space="preserve">Instructed expert</t>
  </si>
  <si>
    <t xml:space="preserve">Yes (litigation)</t>
  </si>
  <si>
    <t xml:space="preserve">Prepared for advisers</t>
  </si>
  <si>
    <t xml:space="preserve">E-012</t>
  </si>
  <si>
    <t xml:space="preserve">24/04/2026</t>
  </si>
  <si>
    <t xml:space="preserve">Witness statement — Neil Tasker (SHEQ Manager)</t>
  </si>
  <si>
    <t xml:space="preserve">Witness</t>
  </si>
  <si>
    <t xml:space="preserve">WC LLP</t>
  </si>
  <si>
    <t xml:space="preserve">Draft; under privilege</t>
  </si>
  <si>
    <t xml:space="preserve">E-013</t>
  </si>
  <si>
    <t xml:space="preserve">Internal Investigation Report</t>
  </si>
  <si>
    <t xml:space="preserve">Investigation</t>
  </si>
  <si>
    <t xml:space="preserve">WC LLP direction</t>
  </si>
  <si>
    <t xml:space="preserve">Privileged; not for disclosure</t>
  </si>
  <si>
    <t xml:space="preserve">E-014</t>
  </si>
  <si>
    <t xml:space="preserve">28/04/2026</t>
  </si>
  <si>
    <t xml:space="preserve">Sentencing Exposure advice note</t>
  </si>
  <si>
    <t xml:space="preserve">Advice</t>
  </si>
  <si>
    <t xml:space="preserve">Privileged</t>
  </si>
  <si>
    <t xml:space="preserve">E-015</t>
  </si>
  <si>
    <t xml:space="preserve">30/04/2026</t>
  </si>
  <si>
    <t xml:space="preserve">Remediation &amp; Improvement Plan (executed)</t>
  </si>
  <si>
    <t xml:space="preserve">Plan</t>
  </si>
  <si>
    <t xml:space="preserve">Calverton / WC LLP</t>
  </si>
  <si>
    <t xml:space="preserve">Provided to HSE with representations</t>
  </si>
  <si>
    <t xml:space="preserve">E-016</t>
  </si>
  <si>
    <t xml:space="preserve">Interlock actuator key issue register (new)</t>
  </si>
  <si>
    <t xml:space="preserve">Introduced 20 Mar 2026</t>
  </si>
  <si>
    <t xml:space="preserve">Total items:</t>
  </si>
  <si>
    <t xml:space="preserve">Privileged items:</t>
  </si>
  <si>
    <t xml:space="preserve">Disclosed to HSE: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</si>
</sst>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3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5" hidden="false" customHeight="false" outlineLevel="0" collapsed="false">
      <c r="A6" s="5" t="s">
        <v>18</v>
      </c>
      <c r="B6" s="5" t="s">
        <v>11</v>
      </c>
      <c r="C6" s="5" t="s">
        <v>19</v>
      </c>
      <c r="D6" s="5" t="s">
        <v>20</v>
      </c>
      <c r="E6" s="5" t="s">
        <v>21</v>
      </c>
      <c r="F6" s="5" t="s">
        <v>15</v>
      </c>
      <c r="G6" s="5" t="s">
        <v>16</v>
      </c>
      <c r="H6" s="5" t="s">
        <v>22</v>
      </c>
    </row>
    <row r="7" customFormat="false" ht="15" hidden="false" customHeight="false" outlineLevel="0" collapsed="false">
      <c r="A7" s="5" t="s">
        <v>23</v>
      </c>
      <c r="B7" s="5" t="s">
        <v>11</v>
      </c>
      <c r="C7" s="5" t="s">
        <v>24</v>
      </c>
      <c r="D7" s="5" t="s">
        <v>25</v>
      </c>
      <c r="E7" s="5" t="s">
        <v>26</v>
      </c>
      <c r="F7" s="5" t="s">
        <v>15</v>
      </c>
      <c r="G7" s="5" t="s">
        <v>16</v>
      </c>
      <c r="H7" s="5" t="s">
        <v>27</v>
      </c>
    </row>
    <row r="8" customFormat="false" ht="15" hidden="false" customHeight="fals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15</v>
      </c>
      <c r="G8" s="5" t="s">
        <v>33</v>
      </c>
      <c r="H8" s="5" t="s">
        <v>34</v>
      </c>
    </row>
    <row r="9" customFormat="false" ht="15" hidden="false" customHeight="false" outlineLevel="0" collapsed="false">
      <c r="A9" s="5" t="s">
        <v>35</v>
      </c>
      <c r="B9" s="5" t="s">
        <v>36</v>
      </c>
      <c r="C9" s="5" t="s">
        <v>37</v>
      </c>
      <c r="D9" s="5" t="s">
        <v>38</v>
      </c>
      <c r="E9" s="5" t="s">
        <v>21</v>
      </c>
      <c r="F9" s="5" t="s">
        <v>15</v>
      </c>
      <c r="G9" s="5" t="s">
        <v>16</v>
      </c>
      <c r="H9" s="5" t="s">
        <v>39</v>
      </c>
    </row>
    <row r="10" customFormat="false" ht="15" hidden="false" customHeight="false" outlineLevel="0" collapsed="false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15</v>
      </c>
      <c r="G10" s="5" t="s">
        <v>16</v>
      </c>
      <c r="H10" s="5" t="s">
        <v>45</v>
      </c>
    </row>
    <row r="11" customFormat="false" ht="15" hidden="false" customHeight="false" outlineLevel="0" collapsed="false">
      <c r="A11" s="5" t="s">
        <v>46</v>
      </c>
      <c r="B11" s="5" t="s">
        <v>47</v>
      </c>
      <c r="C11" s="5" t="s">
        <v>48</v>
      </c>
      <c r="D11" s="5" t="s">
        <v>43</v>
      </c>
      <c r="E11" s="5" t="s">
        <v>44</v>
      </c>
      <c r="F11" s="5" t="s">
        <v>15</v>
      </c>
      <c r="G11" s="5" t="s">
        <v>16</v>
      </c>
      <c r="H11" s="5" t="s">
        <v>49</v>
      </c>
    </row>
    <row r="12" customFormat="false" ht="15" hidden="false" customHeight="false" outlineLevel="0" collapsed="false">
      <c r="A12" s="5" t="s">
        <v>50</v>
      </c>
      <c r="B12" s="5" t="s">
        <v>51</v>
      </c>
      <c r="C12" s="5" t="s">
        <v>52</v>
      </c>
      <c r="D12" s="5" t="s">
        <v>38</v>
      </c>
      <c r="E12" s="5" t="s">
        <v>53</v>
      </c>
      <c r="F12" s="5" t="s">
        <v>15</v>
      </c>
      <c r="G12" s="5" t="s">
        <v>16</v>
      </c>
      <c r="H12" s="5" t="s">
        <v>54</v>
      </c>
    </row>
    <row r="13" customFormat="false" ht="23.85" hidden="false" customHeight="false" outlineLevel="0" collapsed="false">
      <c r="A13" s="5" t="s">
        <v>55</v>
      </c>
      <c r="B13" s="5" t="s">
        <v>56</v>
      </c>
      <c r="C13" s="5" t="s">
        <v>57</v>
      </c>
      <c r="D13" s="5" t="s">
        <v>38</v>
      </c>
      <c r="E13" s="5" t="s">
        <v>58</v>
      </c>
      <c r="F13" s="5" t="s">
        <v>15</v>
      </c>
      <c r="G13" s="5" t="s">
        <v>16</v>
      </c>
      <c r="H13" s="5"/>
    </row>
    <row r="14" customFormat="false" ht="15" hidden="false" customHeight="false" outlineLevel="0" collapsed="false">
      <c r="A14" s="5" t="s">
        <v>59</v>
      </c>
      <c r="B14" s="5" t="s">
        <v>60</v>
      </c>
      <c r="C14" s="5" t="s">
        <v>61</v>
      </c>
      <c r="D14" s="5" t="s">
        <v>31</v>
      </c>
      <c r="E14" s="5" t="s">
        <v>32</v>
      </c>
      <c r="F14" s="5" t="s">
        <v>15</v>
      </c>
      <c r="G14" s="5" t="s">
        <v>33</v>
      </c>
      <c r="H14" s="5" t="s">
        <v>62</v>
      </c>
    </row>
    <row r="15" customFormat="false" ht="15" hidden="false" customHeight="false" outlineLevel="0" collapsed="false">
      <c r="A15" s="5" t="s">
        <v>63</v>
      </c>
      <c r="B15" s="5" t="s">
        <v>64</v>
      </c>
      <c r="C15" s="5" t="s">
        <v>65</v>
      </c>
      <c r="D15" s="5" t="s">
        <v>66</v>
      </c>
      <c r="E15" s="5" t="s">
        <v>67</v>
      </c>
      <c r="F15" s="5" t="s">
        <v>68</v>
      </c>
      <c r="G15" s="5" t="s">
        <v>15</v>
      </c>
      <c r="H15" s="5" t="s">
        <v>69</v>
      </c>
    </row>
    <row r="16" customFormat="false" ht="15" hidden="false" customHeight="false" outlineLevel="0" collapsed="false">
      <c r="A16" s="5" t="s">
        <v>70</v>
      </c>
      <c r="B16" s="5" t="s">
        <v>71</v>
      </c>
      <c r="C16" s="5" t="s">
        <v>72</v>
      </c>
      <c r="D16" s="5" t="s">
        <v>73</v>
      </c>
      <c r="E16" s="5" t="s">
        <v>74</v>
      </c>
      <c r="F16" s="5" t="s">
        <v>16</v>
      </c>
      <c r="G16" s="5" t="s">
        <v>15</v>
      </c>
      <c r="H16" s="5" t="s">
        <v>75</v>
      </c>
    </row>
    <row r="17" customFormat="false" ht="15" hidden="false" customHeight="false" outlineLevel="0" collapsed="false">
      <c r="A17" s="5" t="s">
        <v>76</v>
      </c>
      <c r="B17" s="5" t="s">
        <v>47</v>
      </c>
      <c r="C17" s="5" t="s">
        <v>77</v>
      </c>
      <c r="D17" s="5" t="s">
        <v>78</v>
      </c>
      <c r="E17" s="5" t="s">
        <v>79</v>
      </c>
      <c r="F17" s="5" t="s">
        <v>16</v>
      </c>
      <c r="G17" s="5" t="s">
        <v>15</v>
      </c>
      <c r="H17" s="5" t="s">
        <v>80</v>
      </c>
    </row>
    <row r="18" customFormat="false" ht="15" hidden="false" customHeight="false" outlineLevel="0" collapsed="false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74</v>
      </c>
      <c r="F18" s="5" t="s">
        <v>16</v>
      </c>
      <c r="G18" s="5" t="s">
        <v>15</v>
      </c>
      <c r="H18" s="5" t="s">
        <v>85</v>
      </c>
    </row>
    <row r="19" customFormat="false" ht="15" hidden="false" customHeight="false" outlineLevel="0" collapsed="false">
      <c r="A19" s="5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F19" s="5" t="s">
        <v>15</v>
      </c>
      <c r="G19" s="5" t="s">
        <v>16</v>
      </c>
      <c r="H19" s="5" t="s">
        <v>91</v>
      </c>
    </row>
    <row r="20" customFormat="false" ht="15" hidden="false" customHeight="false" outlineLevel="0" collapsed="false">
      <c r="A20" s="5" t="s">
        <v>92</v>
      </c>
      <c r="B20" s="5" t="s">
        <v>47</v>
      </c>
      <c r="C20" s="5" t="s">
        <v>93</v>
      </c>
      <c r="D20" s="5" t="s">
        <v>38</v>
      </c>
      <c r="E20" s="5" t="s">
        <v>21</v>
      </c>
      <c r="F20" s="5" t="s">
        <v>15</v>
      </c>
      <c r="G20" s="5" t="s">
        <v>16</v>
      </c>
      <c r="H20" s="5" t="s">
        <v>94</v>
      </c>
    </row>
    <row r="22" customFormat="false" ht="15" hidden="false" customHeight="false" outlineLevel="0" collapsed="false">
      <c r="B22" s="6" t="s">
        <v>95</v>
      </c>
      <c r="C22" s="6" t="n">
        <f aca="false">COUNTA(A5:A20)</f>
        <v>16</v>
      </c>
    </row>
    <row r="23" customFormat="false" ht="15" hidden="false" customHeight="false" outlineLevel="0" collapsed="false">
      <c r="B23" s="6" t="s">
        <v>96</v>
      </c>
      <c r="C23" s="6" t="n">
        <f aca="false">COUNTIF(F5:F20,"Yes*")</f>
        <v>4</v>
      </c>
    </row>
    <row r="24" customFormat="false" ht="15" hidden="false" customHeight="false" outlineLevel="0" collapsed="false">
      <c r="B24" s="6" t="s">
        <v>97</v>
      </c>
      <c r="C24" s="6" t="n">
        <f aca="false">COUNTIF(G5:G20,"Yes")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2026-06-29T15:36:10Z</dcterms:created>
  <dc:creator>openpyxl</dc:creator>
  <dc:description/>
  <dc:language>en-US</dc:language>
  <cp:lastModifiedBy/>
  <dcterms:modified xsi:type="dcterms:W3CDTF">2026-06-29T15:36:10Z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