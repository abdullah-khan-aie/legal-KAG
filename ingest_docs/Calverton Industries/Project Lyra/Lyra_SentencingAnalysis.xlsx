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ntencing Analysi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<sst xmlns="http://schemas.openxmlformats.org/spreadsheetml/2006/main" count="59" uniqueCount="57">
  <si>
    <t xml:space="preserve">Project Lyra — Health &amp; Safety Sentencing Analysis</t>
  </si>
  <si>
    <t xml:space="preserve">Calverton Industries Limited | HSE ref WM/SAN/2026/0488 | HSWA 1974 ss.2 &amp; 3 | Prepared 28 Apr 2026 | LEGALLY PRIVILEGED</t>
  </si>
  <si>
    <t xml:space="preserve">Step 1 — Culpability &amp; Harm</t>
  </si>
  <si>
    <t xml:space="preserve">Parameter</t>
  </si>
  <si>
    <t xml:space="preserve">Assessment</t>
  </si>
  <si>
    <t xml:space="preserve">Note</t>
  </si>
  <si>
    <t xml:space="preserve">Culpability</t>
  </si>
  <si>
    <t xml:space="preserve">Medium</t>
  </si>
  <si>
    <t xml:space="preserve">Documented SSoW not effectively enforced; interlock keys uncontrolled; PUWER assessment out of date</t>
  </si>
  <si>
    <t xml:space="preserve">Seriousness of harm risked</t>
  </si>
  <si>
    <t xml:space="preserve">Level A</t>
  </si>
  <si>
    <t xml:space="preserve">Rotating-die nip point — risk of life-changing injury</t>
  </si>
  <si>
    <t xml:space="preserve">Likelihood of harm</t>
  </si>
  <si>
    <t xml:space="preserve">Tolerated live-clearing practice</t>
  </si>
  <si>
    <t xml:space="preserve">Harm category</t>
  </si>
  <si>
    <t xml:space="preserve">2</t>
  </si>
  <si>
    <t xml:space="preserve">Level A risk x Medium likelihood = Harm category 2</t>
  </si>
  <si>
    <t xml:space="preserve">Actual harm (outcome)</t>
  </si>
  <si>
    <t xml:space="preserve">Serious</t>
  </si>
  <si>
    <t xml:space="preserve">Partial amputation of three fingers — supports remaining in cat 2</t>
  </si>
  <si>
    <t xml:space="preserve">Step 2 — Starting point &amp; range (Large organisation, turnover ≥ £50m)</t>
  </si>
  <si>
    <t xml:space="preserve">Item</t>
  </si>
  <si>
    <t xml:space="preserve">Value (£)</t>
  </si>
  <si>
    <t xml:space="preserve">Basis</t>
  </si>
  <si>
    <t xml:space="preserve">FY2025 turnover</t>
  </si>
  <si>
    <t xml:space="preserve">Company management accounts, y/e 31 Dec 2025</t>
  </si>
  <si>
    <t xml:space="preserve">Guideline starting point</t>
  </si>
  <si>
    <t xml:space="preserve">Guideline: Large org, Medium culpability, Harm cat 2</t>
  </si>
  <si>
    <t xml:space="preserve">Category range — low</t>
  </si>
  <si>
    <t xml:space="preserve">Guideline range floor</t>
  </si>
  <si>
    <t xml:space="preserve">Category range — high</t>
  </si>
  <si>
    <t xml:space="preserve">Guideline range ceiling</t>
  </si>
  <si>
    <t xml:space="preserve">Step 2/3 — Adjustment, plea credit &amp; ancillary</t>
  </si>
  <si>
    <t xml:space="preserve">Value</t>
  </si>
  <si>
    <t xml:space="preserve">Basis / formula</t>
  </si>
  <si>
    <t xml:space="preserve">Net mitigation adjustment</t>
  </si>
  <si>
    <t xml:space="preserve">No prior history; cooperation; prompt remediation; acceptance of responsibility</t>
  </si>
  <si>
    <t xml:space="preserve">Figure before plea credit</t>
  </si>
  <si>
    <t xml:space="preserve">Starting point adjusted for net mitigation</t>
  </si>
  <si>
    <t xml:space="preserve">Plea credit</t>
  </si>
  <si>
    <t xml:space="preserve">One-third for guilty plea at first reasonable opportunity</t>
  </si>
  <si>
    <t xml:space="preserve">Indicative fine after plea credit</t>
  </si>
  <si>
    <t xml:space="preserve">Central estimate of exposure on a guilty plea</t>
  </si>
  <si>
    <t xml:space="preserve">HSE costs (FFI + investigation)</t>
  </si>
  <si>
    <t xml:space="preserve">HSE schedule of costs, estimated</t>
  </si>
  <si>
    <t xml:space="preserve">Victim surcharge</t>
  </si>
  <si>
    <t xml:space="preserve">Statutory surcharge (estimate)</t>
  </si>
  <si>
    <t xml:space="preserve">Total financial exposure</t>
  </si>
  <si>
    <t xml:space="preserve">Fine + costs + surcharge</t>
  </si>
  <si>
    <t xml:space="preserve">Sensitivity — indicative fine by culpability/harm category (before plea credit)</t>
  </si>
  <si>
    <t xml:space="preserve">Scenario</t>
  </si>
  <si>
    <t xml:space="preserve">Starting point (£)</t>
  </si>
  <si>
    <t xml:space="preserve">After mitigation (£)</t>
  </si>
  <si>
    <t xml:space="preserve">After 1/3 plea (£)</t>
  </si>
  <si>
    <t xml:space="preserve">Low (Medium culp / Harm cat 3)</t>
  </si>
  <si>
    <t xml:space="preserve">Central (Medium culp / Harm cat 2)</t>
  </si>
  <si>
    <t xml:space="preserve">High (HSE pushes High culp / Harm cat 2)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</si>
</sst>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£#,##0"/>
    <numFmt numFmtId="166" formatCode="0%"/>
    <numFmt numFmtId="167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C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CE4E4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CE4E4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3" min="2" style="1" width="18"/>
    <col collapsed="false" customWidth="true" hidden="false" outlineLevel="0" max="4" min="4" style="1" width="50"/>
  </cols>
  <sheetData>
    <row r="1" customFormat="false" ht="17.35" hidden="false" customHeight="false" outlineLevel="0" collapsed="false">
      <c r="A1" s="2" t="s">
        <v>0</v>
      </c>
    </row>
    <row r="2" customFormat="false" ht="15" hidden="false" customHeight="false" outlineLevel="0" collapsed="false">
      <c r="A2" s="3" t="s">
        <v>1</v>
      </c>
    </row>
    <row r="4" customFormat="false" ht="15" hidden="false" customHeight="false" outlineLevel="0" collapsed="false">
      <c r="A4" s="4" t="s">
        <v>2</v>
      </c>
    </row>
    <row r="5" customFormat="false" ht="15" hidden="false" customHeight="false" outlineLevel="0" collapsed="false">
      <c r="A5" s="5" t="s">
        <v>3</v>
      </c>
      <c r="B5" s="5" t="s">
        <v>4</v>
      </c>
      <c r="C5" s="5" t="s">
        <v>5</v>
      </c>
    </row>
    <row r="6" customFormat="false" ht="68.65" hidden="false" customHeight="false" outlineLevel="0" collapsed="false">
      <c r="A6" s="6" t="s">
        <v>6</v>
      </c>
      <c r="B6" s="6" t="s">
        <v>7</v>
      </c>
      <c r="C6" s="6" t="s">
        <v>8</v>
      </c>
    </row>
    <row r="7" customFormat="false" ht="35.05" hidden="false" customHeight="false" outlineLevel="0" collapsed="false">
      <c r="A7" s="6" t="s">
        <v>9</v>
      </c>
      <c r="B7" s="6" t="s">
        <v>10</v>
      </c>
      <c r="C7" s="6" t="s">
        <v>11</v>
      </c>
    </row>
    <row r="8" customFormat="false" ht="23.85" hidden="false" customHeight="false" outlineLevel="0" collapsed="false">
      <c r="A8" s="6" t="s">
        <v>12</v>
      </c>
      <c r="B8" s="6" t="s">
        <v>7</v>
      </c>
      <c r="C8" s="6" t="s">
        <v>13</v>
      </c>
    </row>
    <row r="9" customFormat="false" ht="35.05" hidden="false" customHeight="false" outlineLevel="0" collapsed="false">
      <c r="A9" s="6" t="s">
        <v>14</v>
      </c>
      <c r="B9" s="6" t="s">
        <v>15</v>
      </c>
      <c r="C9" s="6" t="s">
        <v>16</v>
      </c>
    </row>
    <row r="10" customFormat="false" ht="46.25" hidden="false" customHeight="false" outlineLevel="0" collapsed="false">
      <c r="A10" s="6" t="s">
        <v>17</v>
      </c>
      <c r="B10" s="6" t="s">
        <v>18</v>
      </c>
      <c r="C10" s="6" t="s">
        <v>19</v>
      </c>
    </row>
    <row r="12" customFormat="false" ht="15" hidden="false" customHeight="false" outlineLevel="0" collapsed="false">
      <c r="A12" s="4" t="s">
        <v>20</v>
      </c>
    </row>
    <row r="13" customFormat="false" ht="15" hidden="false" customHeight="false" outlineLevel="0" collapsed="false">
      <c r="A13" s="5" t="s">
        <v>21</v>
      </c>
      <c r="B13" s="5" t="s">
        <v>22</v>
      </c>
      <c r="C13" s="5" t="s">
        <v>23</v>
      </c>
    </row>
    <row r="14" customFormat="false" ht="15" hidden="false" customHeight="false" outlineLevel="0" collapsed="false">
      <c r="A14" s="7" t="s">
        <v>24</v>
      </c>
      <c r="B14" s="8" t="n">
        <v>62000000</v>
      </c>
      <c r="C14" s="7" t="s">
        <v>25</v>
      </c>
    </row>
    <row r="15" customFormat="false" ht="15" hidden="false" customHeight="false" outlineLevel="0" collapsed="false">
      <c r="A15" s="7" t="s">
        <v>26</v>
      </c>
      <c r="B15" s="8" t="n">
        <v>600000</v>
      </c>
      <c r="C15" s="7" t="s">
        <v>27</v>
      </c>
    </row>
    <row r="16" customFormat="false" ht="15" hidden="false" customHeight="false" outlineLevel="0" collapsed="false">
      <c r="A16" s="7" t="s">
        <v>28</v>
      </c>
      <c r="B16" s="8" t="n">
        <v>300000</v>
      </c>
      <c r="C16" s="7" t="s">
        <v>29</v>
      </c>
    </row>
    <row r="17" customFormat="false" ht="15" hidden="false" customHeight="false" outlineLevel="0" collapsed="false">
      <c r="A17" s="7" t="s">
        <v>30</v>
      </c>
      <c r="B17" s="8" t="n">
        <v>1500000</v>
      </c>
      <c r="C17" s="7" t="s">
        <v>31</v>
      </c>
    </row>
    <row r="19" customFormat="false" ht="15" hidden="false" customHeight="false" outlineLevel="0" collapsed="false">
      <c r="A19" s="4" t="s">
        <v>32</v>
      </c>
    </row>
    <row r="20" customFormat="false" ht="15" hidden="false" customHeight="false" outlineLevel="0" collapsed="false">
      <c r="A20" s="5" t="s">
        <v>21</v>
      </c>
      <c r="B20" s="5" t="s">
        <v>33</v>
      </c>
      <c r="C20" s="5" t="s">
        <v>34</v>
      </c>
    </row>
    <row r="21" customFormat="false" ht="15" hidden="false" customHeight="false" outlineLevel="0" collapsed="false">
      <c r="A21" s="7" t="s">
        <v>35</v>
      </c>
      <c r="B21" s="9" t="n">
        <v>-0.25</v>
      </c>
      <c r="C21" s="7" t="s">
        <v>36</v>
      </c>
    </row>
    <row r="22" customFormat="false" ht="15" hidden="false" customHeight="false" outlineLevel="0" collapsed="false">
      <c r="A22" s="10" t="s">
        <v>37</v>
      </c>
      <c r="B22" s="11" t="n">
        <f aca="false">B15*(1+B21)</f>
        <v>450000</v>
      </c>
      <c r="C22" s="7" t="s">
        <v>38</v>
      </c>
    </row>
    <row r="23" customFormat="false" ht="15" hidden="false" customHeight="false" outlineLevel="0" collapsed="false">
      <c r="A23" s="7" t="s">
        <v>39</v>
      </c>
      <c r="B23" s="12" t="n">
        <v>-0.333333333333333</v>
      </c>
      <c r="C23" s="7" t="s">
        <v>40</v>
      </c>
    </row>
    <row r="24" customFormat="false" ht="15" hidden="false" customHeight="false" outlineLevel="0" collapsed="false">
      <c r="A24" s="10" t="s">
        <v>41</v>
      </c>
      <c r="B24" s="13" t="n">
        <f aca="false">B22*(1+B23)</f>
        <v>300000</v>
      </c>
      <c r="C24" s="7" t="s">
        <v>42</v>
      </c>
    </row>
    <row r="25" customFormat="false" ht="15" hidden="false" customHeight="false" outlineLevel="0" collapsed="false">
      <c r="A25" s="7" t="s">
        <v>43</v>
      </c>
      <c r="B25" s="8" t="n">
        <v>24600</v>
      </c>
      <c r="C25" s="7" t="s">
        <v>44</v>
      </c>
    </row>
    <row r="26" customFormat="false" ht="15" hidden="false" customHeight="false" outlineLevel="0" collapsed="false">
      <c r="A26" s="7" t="s">
        <v>45</v>
      </c>
      <c r="B26" s="8" t="n">
        <v>2000</v>
      </c>
      <c r="C26" s="7" t="s">
        <v>46</v>
      </c>
    </row>
    <row r="27" customFormat="false" ht="15" hidden="false" customHeight="false" outlineLevel="0" collapsed="false">
      <c r="A27" s="10" t="s">
        <v>47</v>
      </c>
      <c r="B27" s="11" t="n">
        <f aca="false">B24+B25+B26</f>
        <v>326600</v>
      </c>
      <c r="C27" s="7" t="s">
        <v>48</v>
      </c>
    </row>
    <row r="29" customFormat="false" ht="15" hidden="false" customHeight="false" outlineLevel="0" collapsed="false">
      <c r="A29" s="4" t="s">
        <v>49</v>
      </c>
    </row>
    <row r="30" customFormat="false" ht="26.85" hidden="false" customHeight="false" outlineLevel="0" collapsed="false">
      <c r="A30" s="5" t="s">
        <v>50</v>
      </c>
      <c r="B30" s="5" t="s">
        <v>51</v>
      </c>
      <c r="C30" s="5" t="s">
        <v>52</v>
      </c>
      <c r="D30" s="5" t="s">
        <v>53</v>
      </c>
    </row>
    <row r="31" customFormat="false" ht="15" hidden="false" customHeight="false" outlineLevel="0" collapsed="false">
      <c r="A31" s="7" t="s">
        <v>54</v>
      </c>
      <c r="B31" s="8" t="n">
        <v>300000</v>
      </c>
      <c r="C31" s="14" t="n">
        <f aca="false">B31*(1+$B$21)</f>
        <v>225000</v>
      </c>
      <c r="D31" s="14" t="n">
        <f aca="false">C31*(1+$B$23)</f>
        <v>150000</v>
      </c>
    </row>
    <row r="32" customFormat="false" ht="15" hidden="false" customHeight="false" outlineLevel="0" collapsed="false">
      <c r="A32" s="7" t="s">
        <v>55</v>
      </c>
      <c r="B32" s="8" t="n">
        <v>600000</v>
      </c>
      <c r="C32" s="14" t="n">
        <f aca="false">B32*(1+$B$21)</f>
        <v>450000</v>
      </c>
      <c r="D32" s="14" t="n">
        <f aca="false">C32*(1+$B$23)</f>
        <v>300000</v>
      </c>
    </row>
    <row r="33" customFormat="false" ht="15" hidden="false" customHeight="false" outlineLevel="0" collapsed="false">
      <c r="A33" s="7" t="s">
        <v>56</v>
      </c>
      <c r="B33" s="8" t="n">
        <v>1100000</v>
      </c>
      <c r="C33" s="14" t="n">
        <f aca="false">B33*(1+$B$21)</f>
        <v>825000</v>
      </c>
      <c r="D33" s="14" t="n">
        <f aca="false">C33*(1+$B$23)</f>
        <v>550000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2026-06-29T15:36:10Z</dcterms:created>
  <dc:creator>openpyxl</dc:creator>
  <dc:description/>
  <dc:language>en-US</dc:language>
  <cp:lastModifiedBy/>
  <dcterms:modified xsi:type="dcterms:W3CDTF">2026-06-29T15:36:10Z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