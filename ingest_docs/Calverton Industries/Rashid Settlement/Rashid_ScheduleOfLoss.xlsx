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dule of Los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<sst xmlns="http://schemas.openxmlformats.org/spreadsheetml/2006/main" count="57" uniqueCount="57">
  <si>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Rashid v Calverton Industries Limited — Schedule of Loss</t>
  </si>
  <si>
    <t xml:space="preserve">Case No. 3304127/2025  •  Prepared on behalf of the Claimant  •  Birchall Stone LLP  •  16 June 2025</t>
  </si>
  <si>
    <t xml:space="preserve">Assumptions</t>
  </si>
  <si>
    <t xml:space="preserve">Gross annual basic salary</t>
  </si>
  <si>
    <t xml:space="preserve">Per service agreement, cl. 6.1</t>
  </si>
  <si>
    <t xml:space="preserve">Gross monthly basic salary</t>
  </si>
  <si>
    <t xml:space="preserve">Annual / 12</t>
  </si>
  <si>
    <t xml:space="preserve">Net monthly basic salary (est.)</t>
  </si>
  <si>
    <t xml:space="preserve">Approx. net of tax/NI @ marginal</t>
  </si>
  <si>
    <t xml:space="preserve">Annual benefits (PMI, car allow., pension)</t>
  </si>
  <si>
    <t xml:space="preserve">Car £9,600 + pension £11,840</t>
  </si>
  <si>
    <t xml:space="preserve">Target annual bonus (40% of salary)</t>
  </si>
  <si>
    <t xml:space="preserve">Per service agreement, cl. 6.2</t>
  </si>
  <si>
    <t xml:space="preserve">Statutory week's pay (capped)</t>
  </si>
  <si>
    <t xml:space="preserve">ERA 1996 cap at EDT</t>
  </si>
  <si>
    <t xml:space="preserve">Complete years' service at EDT</t>
  </si>
  <si>
    <t xml:space="preserve">1 Jul 2019 – 30 Apr 2025</t>
  </si>
  <si>
    <t xml:space="preserve">Age at EDT</t>
  </si>
  <si>
    <t xml:space="preserve">DOB 12 Mar 1968</t>
  </si>
  <si>
    <t xml:space="preserve">Estimated months to find comparable role</t>
  </si>
  <si>
    <t xml:space="preserve">Claimant's evidence / mitigation</t>
  </si>
  <si>
    <t xml:space="preserve">Head of claim</t>
  </si>
  <si>
    <t xml:space="preserve">Basis</t>
  </si>
  <si>
    <t xml:space="preserve">Amount</t>
  </si>
  <si>
    <t xml:space="preserve">Notes</t>
  </si>
  <si>
    <t xml:space="preserve">1. Basic award (unfair dismissal)</t>
  </si>
  <si>
    <t xml:space="preserve">5 yrs x 1.5 weeks x capped week's pay</t>
  </si>
  <si>
    <t xml:space="preserve">Age 41+ multiplier</t>
  </si>
  <si>
    <t xml:space="preserve">2. Compensatory award — past loss (net)</t>
  </si>
  <si>
    <t xml:space="preserve">9 months net salary to hearing</t>
  </si>
  <si>
    <t xml:space="preserve">Loss of earnings to date of hearing</t>
  </si>
  <si>
    <t xml:space="preserve">3. Compensatory award — future loss (net)</t>
  </si>
  <si>
    <t xml:space="preserve">Balance of mitigation period</t>
  </si>
  <si>
    <t xml:space="preserve">Further 3 months partial loss</t>
  </si>
  <si>
    <t xml:space="preserve">4. Loss of statutory rights</t>
  </si>
  <si>
    <t xml:space="preserve">Conventional sum</t>
  </si>
  <si>
    <t xml:space="preserve">Loss of unfair-dismissal protection</t>
  </si>
  <si>
    <t xml:space="preserve">5. Loss of benefits</t>
  </si>
  <si>
    <t xml:space="preserve">9 months of annual benefits</t>
  </si>
  <si>
    <t xml:space="preserve">PMI, car allowance, pension</t>
  </si>
  <si>
    <t xml:space="preserve">6. Loss of bonus</t>
  </si>
  <si>
    <t xml:space="preserve">Pro-rated lost bonus opportunity</t>
  </si>
  <si>
    <t xml:space="preserve">50% of target as lost chance</t>
  </si>
  <si>
    <t xml:space="preserve">7. Age discrimination — injury to feelings</t>
  </si>
  <si>
    <t xml:space="preserve">Middle Vento band</t>
  </si>
  <si>
    <t xml:space="preserve">Equality Act 2010 s.124</t>
  </si>
  <si>
    <t xml:space="preserve">8. Age discrimination — aggravated damages</t>
  </si>
  <si>
    <t xml:space="preserve">Conduct of dismissal</t>
  </si>
  <si>
    <t xml:space="preserve">Manner of treatment</t>
  </si>
  <si>
    <t xml:space="preserve">9. Whistleblowing detriment</t>
  </si>
  <si>
    <t xml:space="preserve">Additional injury to feelings</t>
  </si>
  <si>
    <t xml:space="preserve">ERA 1996 s.47B</t>
  </si>
  <si>
    <t xml:space="preserve">10. Interest on awards (est.)</t>
  </si>
  <si>
    <t xml:space="preserve">8% on discrimination heads</t>
  </si>
  <si>
    <t xml:space="preserve">From date of act to hearing</t>
  </si>
  <si>
    <t xml:space="preserve">TOTAL VALUE OF CLAIM (gross of grossing-up)</t>
  </si>
  <si>
    <t xml:space="preserve">Note: This schedule is provided on a without-prejudice basis and is subject to revision. Compensatory figures assume a remedy hearing approximately 12 months after the effective date of termination.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</si>
</sst>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4" min="3" style="0" width="16"/>
    <col collapsed="false" customWidth="true" hidden="false" outlineLevel="0" max="5" min="5" style="0" width="3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5" hidden="false" customHeight="false" outlineLevel="0" collapsed="false">
      <c r="B6" s="5" t="s">
        <v>3</v>
      </c>
      <c r="C6" s="6" t="n">
        <v>148000</v>
      </c>
      <c r="D6" s="7"/>
      <c r="E6" s="8" t="s">
        <v>4</v>
      </c>
    </row>
    <row r="7" customFormat="false" ht="15" hidden="false" customHeight="false" outlineLevel="0" collapsed="false">
      <c r="B7" s="5" t="s">
        <v>5</v>
      </c>
      <c r="C7" s="9" t="n">
        <f aca="false">C6/12</f>
        <v>12333.3333333333</v>
      </c>
      <c r="D7" s="7"/>
      <c r="E7" s="8" t="s">
        <v>6</v>
      </c>
    </row>
    <row r="8" customFormat="false" ht="15" hidden="false" customHeight="false" outlineLevel="0" collapsed="false">
      <c r="B8" s="5" t="s">
        <v>7</v>
      </c>
      <c r="C8" s="9" t="n">
        <f aca="false">C7*0.62</f>
        <v>7646.66666666667</v>
      </c>
      <c r="D8" s="7"/>
      <c r="E8" s="8" t="s">
        <v>8</v>
      </c>
    </row>
    <row r="9" customFormat="false" ht="15" hidden="false" customHeight="false" outlineLevel="0" collapsed="false">
      <c r="B9" s="5" t="s">
        <v>9</v>
      </c>
      <c r="C9" s="6" t="n">
        <v>21440</v>
      </c>
      <c r="D9" s="7"/>
      <c r="E9" s="8" t="s">
        <v>10</v>
      </c>
    </row>
    <row r="10" customFormat="false" ht="15" hidden="false" customHeight="false" outlineLevel="0" collapsed="false">
      <c r="B10" s="5" t="s">
        <v>11</v>
      </c>
      <c r="C10" s="9" t="n">
        <f aca="false">C6*0.4</f>
        <v>59200</v>
      </c>
      <c r="D10" s="7"/>
      <c r="E10" s="8" t="s">
        <v>12</v>
      </c>
    </row>
    <row r="11" customFormat="false" ht="15" hidden="false" customHeight="false" outlineLevel="0" collapsed="false">
      <c r="B11" s="5" t="s">
        <v>13</v>
      </c>
      <c r="C11" s="6" t="n">
        <v>700</v>
      </c>
      <c r="D11" s="7"/>
      <c r="E11" s="8" t="s">
        <v>14</v>
      </c>
    </row>
    <row r="12" customFormat="false" ht="15" hidden="false" customHeight="false" outlineLevel="0" collapsed="false">
      <c r="B12" s="5" t="s">
        <v>15</v>
      </c>
      <c r="C12" s="10" t="n">
        <v>5</v>
      </c>
      <c r="D12" s="7"/>
      <c r="E12" s="8" t="s">
        <v>16</v>
      </c>
    </row>
    <row r="13" customFormat="false" ht="15" hidden="false" customHeight="false" outlineLevel="0" collapsed="false">
      <c r="B13" s="5" t="s">
        <v>17</v>
      </c>
      <c r="C13" s="10" t="n">
        <v>57</v>
      </c>
      <c r="D13" s="7"/>
      <c r="E13" s="8" t="s">
        <v>18</v>
      </c>
    </row>
    <row r="14" customFormat="false" ht="15" hidden="false" customHeight="false" outlineLevel="0" collapsed="false">
      <c r="B14" s="5" t="s">
        <v>19</v>
      </c>
      <c r="C14" s="10" t="n">
        <v>9</v>
      </c>
      <c r="D14" s="7"/>
      <c r="E14" s="8" t="s">
        <v>20</v>
      </c>
    </row>
    <row r="17" customFormat="false" ht="15" hidden="false" customHeight="false" outlineLevel="0" collapsed="false">
      <c r="B17" s="11" t="s">
        <v>21</v>
      </c>
      <c r="C17" s="11" t="s">
        <v>22</v>
      </c>
      <c r="D17" s="11" t="s">
        <v>23</v>
      </c>
      <c r="E17" s="11" t="s">
        <v>24</v>
      </c>
    </row>
    <row r="18" customFormat="false" ht="22.35" hidden="false" customHeight="false" outlineLevel="0" collapsed="false">
      <c r="B18" s="5" t="s">
        <v>25</v>
      </c>
      <c r="C18" s="12" t="s">
        <v>26</v>
      </c>
      <c r="D18" s="9" t="n">
        <f aca="false">C12*1.5*C11</f>
        <v>5250</v>
      </c>
      <c r="E18" s="12" t="s">
        <v>27</v>
      </c>
    </row>
    <row r="19" customFormat="false" ht="22.35" hidden="false" customHeight="false" outlineLevel="0" collapsed="false">
      <c r="B19" s="5" t="s">
        <v>28</v>
      </c>
      <c r="C19" s="12" t="s">
        <v>29</v>
      </c>
      <c r="D19" s="9" t="n">
        <f aca="false">C8*C14</f>
        <v>68820</v>
      </c>
      <c r="E19" s="12" t="s">
        <v>30</v>
      </c>
    </row>
    <row r="20" customFormat="false" ht="22.35" hidden="false" customHeight="false" outlineLevel="0" collapsed="false">
      <c r="B20" s="5" t="s">
        <v>31</v>
      </c>
      <c r="C20" s="12" t="s">
        <v>32</v>
      </c>
      <c r="D20" s="9" t="n">
        <f aca="false">C8*3</f>
        <v>22940</v>
      </c>
      <c r="E20" s="12" t="s">
        <v>33</v>
      </c>
    </row>
    <row r="21" customFormat="false" ht="15" hidden="false" customHeight="false" outlineLevel="0" collapsed="false">
      <c r="B21" s="5" t="s">
        <v>34</v>
      </c>
      <c r="C21" s="12" t="s">
        <v>35</v>
      </c>
      <c r="D21" s="6" t="n">
        <v>600</v>
      </c>
      <c r="E21" s="12" t="s">
        <v>36</v>
      </c>
    </row>
    <row r="22" customFormat="false" ht="22.35" hidden="false" customHeight="false" outlineLevel="0" collapsed="false">
      <c r="B22" s="5" t="s">
        <v>37</v>
      </c>
      <c r="C22" s="12" t="s">
        <v>38</v>
      </c>
      <c r="D22" s="9" t="n">
        <f aca="false">C9/12*C14</f>
        <v>16080</v>
      </c>
      <c r="E22" s="12" t="s">
        <v>39</v>
      </c>
    </row>
    <row r="23" customFormat="false" ht="22.35" hidden="false" customHeight="false" outlineLevel="0" collapsed="false">
      <c r="B23" s="5" t="s">
        <v>40</v>
      </c>
      <c r="C23" s="12" t="s">
        <v>41</v>
      </c>
      <c r="D23" s="9" t="n">
        <f aca="false">C10*0.5</f>
        <v>29600</v>
      </c>
      <c r="E23" s="12" t="s">
        <v>42</v>
      </c>
    </row>
    <row r="24" customFormat="false" ht="15" hidden="false" customHeight="false" outlineLevel="0" collapsed="false">
      <c r="B24" s="5" t="s">
        <v>43</v>
      </c>
      <c r="C24" s="12" t="s">
        <v>44</v>
      </c>
      <c r="D24" s="6" t="n">
        <v>25000</v>
      </c>
      <c r="E24" s="12" t="s">
        <v>45</v>
      </c>
    </row>
    <row r="25" customFormat="false" ht="15" hidden="false" customHeight="false" outlineLevel="0" collapsed="false">
      <c r="B25" s="5" t="s">
        <v>46</v>
      </c>
      <c r="C25" s="12" t="s">
        <v>47</v>
      </c>
      <c r="D25" s="6" t="n">
        <v>5000</v>
      </c>
      <c r="E25" s="12" t="s">
        <v>48</v>
      </c>
    </row>
    <row r="26" customFormat="false" ht="22.35" hidden="false" customHeight="false" outlineLevel="0" collapsed="false">
      <c r="B26" s="5" t="s">
        <v>49</v>
      </c>
      <c r="C26" s="12" t="s">
        <v>50</v>
      </c>
      <c r="D26" s="6" t="n">
        <v>8000</v>
      </c>
      <c r="E26" s="12" t="s">
        <v>51</v>
      </c>
    </row>
    <row r="27" customFormat="false" ht="22.35" hidden="false" customHeight="false" outlineLevel="0" collapsed="false">
      <c r="B27" s="5" t="s">
        <v>52</v>
      </c>
      <c r="C27" s="12" t="s">
        <v>53</v>
      </c>
      <c r="D27" s="9" t="n">
        <f aca="false">(D24+D25+D26)*0.08</f>
        <v>3040</v>
      </c>
      <c r="E27" s="12" t="s">
        <v>54</v>
      </c>
    </row>
    <row r="28" customFormat="false" ht="15" hidden="false" customHeight="false" outlineLevel="0" collapsed="false">
      <c r="B28" s="13" t="s">
        <v>55</v>
      </c>
      <c r="C28" s="14"/>
      <c r="D28" s="15" t="n">
        <f aca="false">SUM(D18:D27)</f>
        <v>184330</v>
      </c>
      <c r="E28" s="14"/>
    </row>
    <row r="30" customFormat="false" ht="22.35" hidden="false" customHeight="true" outlineLevel="0" collapsed="false">
      <c r="B30" s="16" t="s">
        <v>56</v>
      </c>
      <c r="C30" s="16"/>
      <c r="D30" s="16"/>
      <c r="E30" s="16"/>
    </row>
  </sheetData>
  <mergeCells count="1">
    <mergeCell ref="B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2026-06-26T01:52:40Z</dcterms:created>
  <dc:creator>openpyxl</dc:creator>
  <dc:description/>
  <dc:language>en-US</dc:language>
  <cp:lastModifiedBy/>
  <dcterms:modified xsi:type="dcterms:W3CDTF">2026-06-26T01:52:40Z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