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lement Breakdow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<sst xmlns="http://schemas.openxmlformats.org/spreadsheetml/2006/main" count="28" uniqueCount="27">
  <si>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WC-00135 Rashid Settlement — Payment Breakdown</t>
  </si>
  <si>
    <t xml:space="preserve">Calverton Industries Limited  •  Prepared by Whitfield Carter LLP  •  11 April 2025  •  PRIVILEGED</t>
  </si>
  <si>
    <t xml:space="preserve">Inputs</t>
  </si>
  <si>
    <t xml:space="preserve">Gross annual basic salary</t>
  </si>
  <si>
    <t xml:space="preserve">Tax-free element under s.401 ITEPA</t>
  </si>
  <si>
    <t xml:space="preserve">Assumed marginal income tax rate</t>
  </si>
  <si>
    <t xml:space="preserve">Employee NIC rate (above UEL)</t>
  </si>
  <si>
    <t xml:space="preserve">VAT rate</t>
  </si>
  <si>
    <t xml:space="preserve">Component</t>
  </si>
  <si>
    <t xml:space="preserve">Gross</t>
  </si>
  <si>
    <t xml:space="preserve">Deductions</t>
  </si>
  <si>
    <t xml:space="preserve">Net to employee</t>
  </si>
  <si>
    <t xml:space="preserve">Tax treatment</t>
  </si>
  <si>
    <t xml:space="preserve">Salary to Termination Date (Apr 2025)</t>
  </si>
  <si>
    <t xml:space="preserve">Taxable — PAYE</t>
  </si>
  <si>
    <t xml:space="preserve">Accrued holiday pay</t>
  </si>
  <si>
    <t xml:space="preserve">Payment in lieu of notice (6 months)</t>
  </si>
  <si>
    <t xml:space="preserve">Taxable — post-employment notice pay</t>
  </si>
  <si>
    <t xml:space="preserve">Ex-gratia termination payment</t>
  </si>
  <si>
    <t xml:space="preserve">First £30,000 tax-free; balance taxable</t>
  </si>
  <si>
    <t xml:space="preserve">Employer legal-fee contribution (excl. VAT)</t>
  </si>
  <si>
    <t xml:space="preserve">Paid to adviser; non-taxable to employee</t>
  </si>
  <si>
    <t xml:space="preserve">VAT on legal-fee contribution</t>
  </si>
  <si>
    <t xml:space="preserve">Reclaimed/borne by Company</t>
  </si>
  <si>
    <t xml:space="preserve">TOTAL</t>
  </si>
  <si>
    <t xml:space="preserve">Total cost to Company (gross + employer VAT)</t>
  </si>
  <si>
    <t xml:space="preserve">Ties to board-approved settlement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</si>
</sst>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2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</row>
    <row r="6" customFormat="false" ht="15" hidden="false" customHeight="false" outlineLevel="0" collapsed="false">
      <c r="B6" s="5" t="s">
        <v>3</v>
      </c>
      <c r="C6" s="6" t="n">
        <v>148000</v>
      </c>
    </row>
    <row r="7" customFormat="false" ht="15" hidden="false" customHeight="false" outlineLevel="0" collapsed="false">
      <c r="B7" s="5" t="s">
        <v>4</v>
      </c>
      <c r="C7" s="6" t="n">
        <v>30000</v>
      </c>
    </row>
    <row r="8" customFormat="false" ht="15" hidden="false" customHeight="false" outlineLevel="0" collapsed="false">
      <c r="B8" s="5" t="s">
        <v>5</v>
      </c>
      <c r="C8" s="7" t="n">
        <v>0.4</v>
      </c>
    </row>
    <row r="9" customFormat="false" ht="15" hidden="false" customHeight="false" outlineLevel="0" collapsed="false">
      <c r="B9" s="5" t="s">
        <v>6</v>
      </c>
      <c r="C9" s="7" t="n">
        <v>0.02</v>
      </c>
    </row>
    <row r="10" customFormat="false" ht="15" hidden="false" customHeight="false" outlineLevel="0" collapsed="false">
      <c r="B10" s="5" t="s">
        <v>7</v>
      </c>
      <c r="C10" s="7" t="n">
        <v>0.2</v>
      </c>
    </row>
    <row r="13" customFormat="false" ht="26.85" hidden="false" customHeight="false" outlineLevel="0" collapsed="false">
      <c r="B13" s="8" t="s">
        <v>8</v>
      </c>
      <c r="C13" s="8" t="s">
        <v>9</v>
      </c>
      <c r="D13" s="8" t="s">
        <v>10</v>
      </c>
      <c r="E13" s="8" t="s">
        <v>11</v>
      </c>
      <c r="F13" s="8" t="s">
        <v>12</v>
      </c>
    </row>
    <row r="14" customFormat="false" ht="15" hidden="false" customHeight="false" outlineLevel="0" collapsed="false">
      <c r="B14" s="5" t="s">
        <v>13</v>
      </c>
      <c r="C14" s="9" t="n">
        <f aca="false">C6/12</f>
        <v>12333.3333333333</v>
      </c>
      <c r="D14" s="9" t="n">
        <f aca="false">C14*C8+C14*C9</f>
        <v>5180</v>
      </c>
      <c r="E14" s="9" t="n">
        <f aca="false">C14-D14</f>
        <v>7153.33333333333</v>
      </c>
      <c r="F14" s="10" t="s">
        <v>14</v>
      </c>
    </row>
    <row r="15" customFormat="false" ht="15" hidden="false" customHeight="false" outlineLevel="0" collapsed="false">
      <c r="B15" s="5" t="s">
        <v>15</v>
      </c>
      <c r="C15" s="6" t="n">
        <v>2280</v>
      </c>
      <c r="D15" s="9" t="n">
        <f aca="false">C15*C8+C15*C9</f>
        <v>957.6</v>
      </c>
      <c r="E15" s="9" t="n">
        <f aca="false">C15-D15</f>
        <v>1322.4</v>
      </c>
      <c r="F15" s="10" t="s">
        <v>14</v>
      </c>
    </row>
    <row r="16" customFormat="false" ht="22.35" hidden="false" customHeight="false" outlineLevel="0" collapsed="false">
      <c r="B16" s="5" t="s">
        <v>16</v>
      </c>
      <c r="C16" s="6" t="n">
        <v>74000</v>
      </c>
      <c r="D16" s="9" t="n">
        <f aca="false">C16*C8+C16*C9</f>
        <v>31080</v>
      </c>
      <c r="E16" s="9" t="n">
        <f aca="false">C16-D16</f>
        <v>42920</v>
      </c>
      <c r="F16" s="10" t="s">
        <v>17</v>
      </c>
    </row>
    <row r="17" customFormat="false" ht="22.35" hidden="false" customHeight="false" outlineLevel="0" collapsed="false">
      <c r="B17" s="5" t="s">
        <v>18</v>
      </c>
      <c r="C17" s="6" t="n">
        <v>72500</v>
      </c>
      <c r="D17" s="9" t="n">
        <f aca="false">(C17-C7)*C8</f>
        <v>17000</v>
      </c>
      <c r="E17" s="9" t="n">
        <f aca="false">C17-D17</f>
        <v>55500</v>
      </c>
      <c r="F17" s="10" t="s">
        <v>19</v>
      </c>
    </row>
    <row r="18" customFormat="false" ht="22.35" hidden="false" customHeight="false" outlineLevel="0" collapsed="false">
      <c r="B18" s="5" t="s">
        <v>20</v>
      </c>
      <c r="C18" s="6" t="n">
        <v>1500</v>
      </c>
      <c r="D18" s="6" t="n">
        <v>0</v>
      </c>
      <c r="E18" s="9" t="n">
        <f aca="false">C18-D18</f>
        <v>1500</v>
      </c>
      <c r="F18" s="10" t="s">
        <v>21</v>
      </c>
    </row>
    <row r="19" customFormat="false" ht="15" hidden="false" customHeight="false" outlineLevel="0" collapsed="false">
      <c r="B19" s="5" t="s">
        <v>22</v>
      </c>
      <c r="C19" s="9" t="n">
        <f aca="false">1500*C10</f>
        <v>300</v>
      </c>
      <c r="D19" s="6" t="n">
        <v>0</v>
      </c>
      <c r="E19" s="9" t="n">
        <f aca="false">C19-D19</f>
        <v>300</v>
      </c>
      <c r="F19" s="10" t="s">
        <v>23</v>
      </c>
    </row>
    <row r="20" customFormat="false" ht="15" hidden="false" customHeight="false" outlineLevel="0" collapsed="false">
      <c r="B20" s="11" t="s">
        <v>24</v>
      </c>
      <c r="C20" s="12" t="n">
        <f aca="false">SUM(C14:C19)</f>
        <v>162913.333333333</v>
      </c>
      <c r="D20" s="12" t="n">
        <f aca="false">SUM(D14:D19)</f>
        <v>54217.6</v>
      </c>
      <c r="E20" s="12" t="n">
        <f aca="false">SUM(E14:E19)</f>
        <v>108695.733333333</v>
      </c>
      <c r="F20" s="13"/>
    </row>
    <row r="22" customFormat="false" ht="15" hidden="false" customHeight="false" outlineLevel="0" collapsed="false">
      <c r="B22" s="14" t="s">
        <v>25</v>
      </c>
      <c r="C22" s="15" t="n">
        <f aca="false">C20</f>
        <v>162913.333333333</v>
      </c>
      <c r="F22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2026-06-26T01:52:40Z</dcterms:created>
  <dc:creator>openpyxl</dc:creator>
  <dc:description/>
  <dc:language>en-US</dc:language>
  <cp:lastModifiedBy/>
  <dcterms:modified xsi:type="dcterms:W3CDTF">2026-06-26T01:52:40Z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