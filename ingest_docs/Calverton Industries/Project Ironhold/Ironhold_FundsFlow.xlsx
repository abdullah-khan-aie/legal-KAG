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 Flow" sheetId="1" state="visible" r:id="rId1"/>
    <sheet xmlns:r="http://schemas.openxmlformats.org/officeDocument/2006/relationships" name="Debt-for-Equ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#,##0;(#,##0)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sz val="10"/>
    </font>
    <font>
      <color rgb="00808080"/>
      <sz val="9"/>
    </font>
    <font>
      <name val="Calibri"/>
      <b val="1"/>
      <color rgb="00FFFFFF"/>
      <sz val="11"/>
    </font>
    <font>
      <b val="1"/>
    </font>
    <font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6DCE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  <xf numFmtId="0" fontId="5" fillId="4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40" customWidth="1" min="4" max="4"/>
    <col width="16" customWidth="1" min="5" max="5"/>
  </cols>
  <sheetData>
    <row r="1" ht="18" customHeight="1">
      <c r="A1" s="1" t="inlineStr">
        <is>
          <t>Calverton Industries Limited — Project Ironhold</t>
        </is>
      </c>
    </row>
    <row r="2">
      <c r="A2" s="2" t="inlineStr">
        <is>
          <t>Restructuring Funds Flow Statement — Restructuring Effective Date: 24 April 2026</t>
        </is>
      </c>
    </row>
    <row r="3">
      <c r="A3" s="3" t="inlineStr">
        <is>
          <t>All amounts in £  |  Prepared by Whitfield Carter LLP  |  Settlement via CHAPS on the RED</t>
        </is>
      </c>
    </row>
    <row r="5">
      <c r="A5" s="4" t="inlineStr">
        <is>
          <t>Ref</t>
        </is>
      </c>
      <c r="B5" s="4" t="inlineStr">
        <is>
          <t>Payer</t>
        </is>
      </c>
      <c r="C5" s="4" t="inlineStr">
        <is>
          <t>Payee</t>
        </is>
      </c>
      <c r="D5" s="4" t="inlineStr">
        <is>
          <t>Purpose</t>
        </is>
      </c>
      <c r="E5" s="4" t="inlineStr">
        <is>
          <t>Amount (£)</t>
        </is>
      </c>
    </row>
    <row r="6">
      <c r="A6" s="5" t="inlineStr">
        <is>
          <t>1</t>
        </is>
      </c>
      <c r="B6" s="5" t="inlineStr">
        <is>
          <t>Northbank plc (new-money)</t>
        </is>
      </c>
      <c r="C6" s="5" t="inlineStr">
        <is>
          <t>Calverton Industries Limited</t>
        </is>
      </c>
      <c r="D6" s="5" t="inlineStr">
        <is>
          <t>Drawdown of Super-Senior Facility (Tranche A)</t>
        </is>
      </c>
      <c r="E6" s="6" t="n">
        <v>3600000</v>
      </c>
    </row>
    <row r="7">
      <c r="A7" s="5" t="inlineStr">
        <is>
          <t>2</t>
        </is>
      </c>
      <c r="B7" s="5" t="inlineStr">
        <is>
          <t>Calverton family (Aldermarsh Nominees Ltd)</t>
        </is>
      </c>
      <c r="C7" s="5" t="inlineStr">
        <is>
          <t>Calverton Industries Limited</t>
        </is>
      </c>
      <c r="D7" s="5" t="inlineStr">
        <is>
          <t>Subscription for new ordinary shares (debt-for-equity)</t>
        </is>
      </c>
      <c r="E7" s="6" t="n">
        <v>0</v>
      </c>
    </row>
    <row r="8">
      <c r="A8" s="5" t="inlineStr">
        <is>
          <t>3</t>
        </is>
      </c>
      <c r="B8" s="5" t="inlineStr">
        <is>
          <t>Calverton Industries Limited</t>
        </is>
      </c>
      <c r="C8" s="5" t="inlineStr">
        <is>
          <t>Northbank plc</t>
        </is>
      </c>
      <c r="D8" s="5" t="inlineStr">
        <is>
          <t>Repayment of arrears and accrued default interest under Senior Facilities</t>
        </is>
      </c>
      <c r="E8" s="6" t="n">
        <v>2450000</v>
      </c>
    </row>
    <row r="9">
      <c r="A9" s="5" t="inlineStr">
        <is>
          <t>4</t>
        </is>
      </c>
      <c r="B9" s="5" t="inlineStr">
        <is>
          <t>Calverton Industries Limited</t>
        </is>
      </c>
      <c r="C9" s="5" t="inlineStr">
        <is>
          <t>Marlow Tax &amp; Advisory Ltd</t>
        </is>
      </c>
      <c r="D9" s="5" t="inlineStr">
        <is>
          <t>IBR and restructuring advisory fees (final)</t>
        </is>
      </c>
      <c r="E9" s="6" t="n">
        <v>285000</v>
      </c>
    </row>
    <row r="10">
      <c r="A10" s="5" t="inlineStr">
        <is>
          <t>5</t>
        </is>
      </c>
      <c r="B10" s="5" t="inlineStr">
        <is>
          <t>Calverton Industries Limited</t>
        </is>
      </c>
      <c r="C10" s="5" t="inlineStr">
        <is>
          <t>Whitfield Carter LLP</t>
        </is>
      </c>
      <c r="D10" s="5" t="inlineStr">
        <is>
          <t>Legal fees and disbursements (company side)</t>
        </is>
      </c>
      <c r="E10" s="6" t="n">
        <v>340000</v>
      </c>
    </row>
    <row r="11">
      <c r="A11" s="5" t="inlineStr">
        <is>
          <t>6</t>
        </is>
      </c>
      <c r="B11" s="5" t="inlineStr">
        <is>
          <t>Calverton Industries Limited</t>
        </is>
      </c>
      <c r="C11" s="5" t="inlineStr">
        <is>
          <t>Pemberton Rowe LLP</t>
        </is>
      </c>
      <c r="D11" s="5" t="inlineStr">
        <is>
          <t>Lender legal fees (borrower to pay under facilities)</t>
        </is>
      </c>
      <c r="E11" s="6" t="n">
        <v>210000</v>
      </c>
    </row>
    <row r="12">
      <c r="A12" s="5" t="inlineStr">
        <is>
          <t>7</t>
        </is>
      </c>
      <c r="B12" s="5" t="inlineStr">
        <is>
          <t>Calverton Industries Limited</t>
        </is>
      </c>
      <c r="C12" s="5" t="inlineStr">
        <is>
          <t>Northbank plc</t>
        </is>
      </c>
      <c r="D12" s="5" t="inlineStr">
        <is>
          <t>Amendment / consent and work fee</t>
        </is>
      </c>
      <c r="E12" s="6" t="n">
        <v>630000</v>
      </c>
    </row>
    <row r="13">
      <c r="A13" s="5" t="inlineStr">
        <is>
          <t>8</t>
        </is>
      </c>
      <c r="B13" s="5" t="inlineStr">
        <is>
          <t>Calverton Industries Limited</t>
        </is>
      </c>
      <c r="C13" s="5" t="inlineStr">
        <is>
          <t>Land Registry / Companies House</t>
        </is>
      </c>
      <c r="D13" s="5" t="inlineStr">
        <is>
          <t>Security registration and filing fees</t>
        </is>
      </c>
      <c r="E13" s="6" t="n">
        <v>4150</v>
      </c>
    </row>
    <row r="14">
      <c r="A14" s="5" t="inlineStr">
        <is>
          <t>9</t>
        </is>
      </c>
      <c r="B14" s="5" t="inlineStr">
        <is>
          <t>Calverton Industries Limited</t>
        </is>
      </c>
      <c r="C14" s="5" t="inlineStr">
        <is>
          <t>Working capital account</t>
        </is>
      </c>
      <c r="D14" s="5" t="inlineStr">
        <is>
          <t>Net cash retained by the group after RED payments</t>
        </is>
      </c>
      <c r="E14" s="6">
        <f>E6-(E8+E9+E10+E11+E12+E13)</f>
        <v/>
      </c>
    </row>
    <row r="15">
      <c r="D15" s="7" t="inlineStr">
        <is>
          <t>Total new-money applied</t>
        </is>
      </c>
      <c r="E15" s="8">
        <f>SUM(E8:E13)+E14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</cols>
  <sheetData>
    <row r="1">
      <c r="A1" s="9" t="inlineStr">
        <is>
          <t>Debt-for-equity swap and shareholder subordination</t>
        </is>
      </c>
    </row>
    <row r="3">
      <c r="A3" s="10" t="inlineStr">
        <is>
          <t>Item</t>
        </is>
      </c>
      <c r="B3" s="10" t="inlineStr">
        <is>
          <t>£</t>
        </is>
      </c>
    </row>
    <row r="4">
      <c r="A4" s="11" t="inlineStr">
        <is>
          <t>Shareholder loans outstanding pre-RED (Aldermarsh Nominees Ltd)</t>
        </is>
      </c>
      <c r="B4" s="12" t="n">
        <v>21000000</v>
      </c>
    </row>
    <row r="5">
      <c r="A5" s="11" t="inlineStr">
        <is>
          <t>Amount converted to new ordinary shares at the RED</t>
        </is>
      </c>
      <c r="B5" s="12" t="n">
        <v>6000000</v>
      </c>
    </row>
    <row r="6">
      <c r="A6" s="11" t="inlineStr">
        <is>
          <t>Residual subordinated shareholder loan post-RED</t>
        </is>
      </c>
      <c r="B6" s="12" t="n">
        <v>15000000</v>
      </c>
    </row>
    <row r="7">
      <c r="A7" s="11" t="inlineStr">
        <is>
          <t>New ordinary shares issued (at £1.00 each)</t>
        </is>
      </c>
      <c r="B7" s="12" t="n">
        <v>6000000</v>
      </c>
    </row>
    <row r="8">
      <c r="A8" s="11" t="inlineStr">
        <is>
          <t>Resulting shareholder equity stake post-conversion</t>
        </is>
      </c>
      <c r="B8" s="11" t="inlineStr">
        <is>
          <t>68.0%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2026-07-01T11:26:16Z</dcterms:created>
  <dcterms:modified xmlns:dcterms="http://purl.org/dc/terms/" xmlns:xsi="http://www.w3.org/2001/XMLSchema-instance" xsi:type="dcterms:W3CDTF">2026-07-01T11:26:16Z</dcterms:modified>
</cp:coreProperties>
</file>