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&amp; Cashflow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color rgb="00808080"/>
      <sz val="9"/>
    </font>
    <font>
      <name val="Calibri"/>
      <b val="1"/>
      <color rgb="00FFFFFF"/>
      <sz val="11"/>
    </font>
    <font>
      <b val="1"/>
    </font>
    <font>
      <b val="1"/>
      <color rgb="001F3864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Calverton Industries Limited — Project Ironhold</t>
        </is>
      </c>
    </row>
    <row r="2">
      <c r="A2" s="2" t="inlineStr">
        <is>
          <t>Independent Business Review — Integrated Trading &amp; Cashflow Model (base case)</t>
        </is>
      </c>
    </row>
    <row r="3">
      <c r="A3" s="3" t="inlineStr">
        <is>
          <t>Prepared by Marlow Tax &amp; Advisory Ltd  |  All figures £'000 unless stated  |  FY ends 31 December</t>
        </is>
      </c>
    </row>
    <row r="5">
      <c r="A5" s="4" t="inlineStr">
        <is>
          <t>£'000</t>
        </is>
      </c>
      <c r="B5" s="4" t="inlineStr">
        <is>
          <t>FY2023A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FY2026F</t>
        </is>
      </c>
      <c r="F5" s="4" t="inlineStr">
        <is>
          <t>FY2027F</t>
        </is>
      </c>
      <c r="G5" s="4" t="inlineStr">
        <is>
          <t>FY2028F</t>
        </is>
      </c>
      <c r="H5" s="4" t="inlineStr">
        <is>
          <t>FY2029F</t>
        </is>
      </c>
    </row>
    <row r="6">
      <c r="A6" s="5" t="inlineStr">
        <is>
          <t>Revenue</t>
        </is>
      </c>
    </row>
    <row r="7">
      <c r="A7" s="6" t="inlineStr">
        <is>
          <t xml:space="preserve">  Fastenings division</t>
        </is>
      </c>
      <c r="B7" s="7" t="n">
        <v>58200</v>
      </c>
      <c r="C7" s="7" t="n">
        <v>55100</v>
      </c>
      <c r="D7" s="7" t="n">
        <v>49800</v>
      </c>
      <c r="E7" s="7" t="n">
        <v>47500</v>
      </c>
      <c r="F7" s="7" t="n">
        <v>50900</v>
      </c>
      <c r="G7" s="7" t="n">
        <v>54200</v>
      </c>
      <c r="H7" s="7" t="n">
        <v>57000</v>
      </c>
    </row>
    <row r="8">
      <c r="A8" s="6" t="inlineStr">
        <is>
          <t xml:space="preserve">  Fluid Systems division</t>
        </is>
      </c>
      <c r="B8" s="7" t="n">
        <v>41300</v>
      </c>
      <c r="C8" s="7" t="n">
        <v>39600</v>
      </c>
      <c r="D8" s="7" t="n">
        <v>36200</v>
      </c>
      <c r="E8" s="7" t="n">
        <v>35100</v>
      </c>
      <c r="F8" s="7" t="n">
        <v>38400</v>
      </c>
      <c r="G8" s="7" t="n">
        <v>41600</v>
      </c>
      <c r="H8" s="7" t="n">
        <v>44300</v>
      </c>
    </row>
    <row r="9">
      <c r="A9" s="8" t="inlineStr">
        <is>
          <t>Total revenue</t>
        </is>
      </c>
      <c r="B9" s="9">
        <f>B7+B8</f>
        <v/>
      </c>
      <c r="C9" s="9">
        <f>C7+C8</f>
        <v/>
      </c>
      <c r="D9" s="9">
        <f>D7+D8</f>
        <v/>
      </c>
      <c r="E9" s="9">
        <f>E7+E8</f>
        <v/>
      </c>
      <c r="F9" s="9">
        <f>F7+F8</f>
        <v/>
      </c>
      <c r="G9" s="9">
        <f>G7+G8</f>
        <v/>
      </c>
      <c r="H9" s="9">
        <f>H7+H8</f>
        <v/>
      </c>
    </row>
    <row r="10">
      <c r="A10" s="6" t="inlineStr">
        <is>
          <t xml:space="preserve">  Gross margin %</t>
        </is>
      </c>
      <c r="B10" s="10" t="n">
        <v>0.312</v>
      </c>
      <c r="C10" s="10" t="n">
        <v>0.298</v>
      </c>
      <c r="D10" s="10" t="n">
        <v>0.276</v>
      </c>
      <c r="E10" s="10" t="n">
        <v>0.281</v>
      </c>
      <c r="F10" s="10" t="n">
        <v>0.305</v>
      </c>
      <c r="G10" s="10" t="n">
        <v>0.318</v>
      </c>
      <c r="H10" s="10" t="n">
        <v>0.324</v>
      </c>
    </row>
    <row r="11">
      <c r="A11" s="11" t="inlineStr">
        <is>
          <t>Gross profit</t>
        </is>
      </c>
      <c r="B11" s="12">
        <f>B9*B10</f>
        <v/>
      </c>
      <c r="C11" s="12">
        <f>C9*C10</f>
        <v/>
      </c>
      <c r="D11" s="12">
        <f>D9*D10</f>
        <v/>
      </c>
      <c r="E11" s="12">
        <f>E9*E10</f>
        <v/>
      </c>
      <c r="F11" s="12">
        <f>F9*F10</f>
        <v/>
      </c>
      <c r="G11" s="12">
        <f>G9*G10</f>
        <v/>
      </c>
      <c r="H11" s="12">
        <f>H9*H10</f>
        <v/>
      </c>
    </row>
    <row r="12">
      <c r="A12" s="6" t="inlineStr">
        <is>
          <t xml:space="preserve">  Operating overheads</t>
        </is>
      </c>
      <c r="B12" s="7" t="n">
        <v>-22100</v>
      </c>
      <c r="C12" s="7" t="n">
        <v>-22800</v>
      </c>
      <c r="D12" s="7" t="n">
        <v>-23600</v>
      </c>
      <c r="E12" s="7" t="n">
        <v>-22400</v>
      </c>
      <c r="F12" s="7" t="n">
        <v>-22900</v>
      </c>
      <c r="G12" s="7" t="n">
        <v>-23500</v>
      </c>
      <c r="H12" s="7" t="n">
        <v>-24100</v>
      </c>
    </row>
    <row r="13">
      <c r="A13" s="6" t="inlineStr">
        <is>
          <t xml:space="preserve">  Exceptional / restructuring items</t>
        </is>
      </c>
      <c r="B13" s="7" t="n">
        <v>0</v>
      </c>
      <c r="C13" s="7" t="n">
        <v>-1200</v>
      </c>
      <c r="D13" s="7" t="n">
        <v>-4800</v>
      </c>
      <c r="E13" s="7" t="n">
        <v>-2600</v>
      </c>
      <c r="F13" s="7" t="n">
        <v>-400</v>
      </c>
      <c r="G13" s="7" t="n">
        <v>0</v>
      </c>
      <c r="H13" s="7" t="n">
        <v>0</v>
      </c>
    </row>
    <row r="14">
      <c r="A14" s="13" t="inlineStr">
        <is>
          <t>Adjusted EBITDA</t>
        </is>
      </c>
      <c r="B14" s="14">
        <f>B11+B12</f>
        <v/>
      </c>
      <c r="C14" s="14">
        <f>C11+C12</f>
        <v/>
      </c>
      <c r="D14" s="14">
        <f>D11+D12</f>
        <v/>
      </c>
      <c r="E14" s="14">
        <f>E11+E12</f>
        <v/>
      </c>
      <c r="F14" s="14">
        <f>F11+F12</f>
        <v/>
      </c>
      <c r="G14" s="14">
        <f>G11+G12</f>
        <v/>
      </c>
      <c r="H14" s="14">
        <f>H11+H12</f>
        <v/>
      </c>
    </row>
    <row r="15">
      <c r="A15" s="6" t="inlineStr">
        <is>
          <t xml:space="preserve">  Depreciation &amp; amortisation</t>
        </is>
      </c>
      <c r="B15" s="7" t="n">
        <v>-5400</v>
      </c>
      <c r="C15" s="7" t="n">
        <v>-5500</v>
      </c>
      <c r="D15" s="7" t="n">
        <v>-5600</v>
      </c>
      <c r="E15" s="7" t="n">
        <v>-5300</v>
      </c>
      <c r="F15" s="7" t="n">
        <v>-5100</v>
      </c>
      <c r="G15" s="7" t="n">
        <v>-5000</v>
      </c>
      <c r="H15" s="7" t="n">
        <v>-4900</v>
      </c>
    </row>
    <row r="16">
      <c r="A16" s="11" t="inlineStr">
        <is>
          <t>EBIT</t>
        </is>
      </c>
      <c r="B16" s="12">
        <f>B14+B13+B15</f>
        <v/>
      </c>
      <c r="C16" s="12">
        <f>C14+C13+C15</f>
        <v/>
      </c>
      <c r="D16" s="12">
        <f>D14+D13+D15</f>
        <v/>
      </c>
      <c r="E16" s="12">
        <f>E14+E13+E15</f>
        <v/>
      </c>
      <c r="F16" s="12">
        <f>F14+F13+F15</f>
        <v/>
      </c>
      <c r="G16" s="12">
        <f>G14+G13+G15</f>
        <v/>
      </c>
      <c r="H16" s="12">
        <f>H14+H13+H15</f>
        <v/>
      </c>
    </row>
    <row r="17">
      <c r="A17" s="6" t="inlineStr">
        <is>
          <t xml:space="preserve">  Net finance costs</t>
        </is>
      </c>
      <c r="B17" s="7" t="n">
        <v>-3100</v>
      </c>
      <c r="C17" s="7" t="n">
        <v>-3300</v>
      </c>
      <c r="D17" s="7" t="n">
        <v>-3600</v>
      </c>
      <c r="E17" s="7" t="n">
        <v>-3450</v>
      </c>
      <c r="F17" s="7" t="n">
        <v>-3200</v>
      </c>
      <c r="G17" s="7" t="n">
        <v>-2850</v>
      </c>
      <c r="H17" s="7" t="n">
        <v>-2500</v>
      </c>
    </row>
    <row r="18">
      <c r="A18" s="8" t="inlineStr">
        <is>
          <t>Profit / (loss) before tax</t>
        </is>
      </c>
      <c r="B18" s="9">
        <f>B16+B17</f>
        <v/>
      </c>
      <c r="C18" s="9">
        <f>C16+C17</f>
        <v/>
      </c>
      <c r="D18" s="9">
        <f>D16+D17</f>
        <v/>
      </c>
      <c r="E18" s="9">
        <f>E16+E17</f>
        <v/>
      </c>
      <c r="F18" s="9">
        <f>F16+F17</f>
        <v/>
      </c>
      <c r="G18" s="9">
        <f>G16+G17</f>
        <v/>
      </c>
      <c r="H18" s="9">
        <f>H16+H17</f>
        <v/>
      </c>
    </row>
    <row r="20">
      <c r="A20" s="5" t="inlineStr">
        <is>
          <t>Cashflow</t>
        </is>
      </c>
    </row>
    <row r="21">
      <c r="A21" s="6" t="inlineStr">
        <is>
          <t xml:space="preserve">  Capital expenditure</t>
        </is>
      </c>
      <c r="B21" s="7" t="n">
        <v>-4200</v>
      </c>
      <c r="C21" s="7" t="n">
        <v>-3900</v>
      </c>
      <c r="D21" s="7" t="n">
        <v>-2800</v>
      </c>
      <c r="E21" s="7" t="n">
        <v>-2500</v>
      </c>
      <c r="F21" s="7" t="n">
        <v>-3200</v>
      </c>
      <c r="G21" s="7" t="n">
        <v>-3600</v>
      </c>
      <c r="H21" s="7" t="n">
        <v>-3800</v>
      </c>
    </row>
    <row r="22">
      <c r="A22" s="6" t="inlineStr">
        <is>
          <t xml:space="preserve">  Working capital movement</t>
        </is>
      </c>
      <c r="B22" s="7" t="n">
        <v>-1800</v>
      </c>
      <c r="C22" s="7" t="n">
        <v>-900</v>
      </c>
      <c r="D22" s="7" t="n">
        <v>2400</v>
      </c>
      <c r="E22" s="7" t="n">
        <v>1200</v>
      </c>
      <c r="F22" s="7" t="n">
        <v>-1600</v>
      </c>
      <c r="G22" s="7" t="n">
        <v>-1400</v>
      </c>
      <c r="H22" s="7" t="n">
        <v>-900</v>
      </c>
    </row>
    <row r="23">
      <c r="A23" s="6" t="inlineStr">
        <is>
          <t xml:space="preserve">  Tax paid</t>
        </is>
      </c>
      <c r="B23" s="7" t="n">
        <v>-600</v>
      </c>
      <c r="C23" s="7" t="n">
        <v>-300</v>
      </c>
      <c r="D23" s="7" t="n">
        <v>0</v>
      </c>
      <c r="E23" s="7" t="n">
        <v>0</v>
      </c>
      <c r="F23" s="7" t="n">
        <v>-200</v>
      </c>
      <c r="G23" s="7" t="n">
        <v>-700</v>
      </c>
      <c r="H23" s="7" t="n">
        <v>-1100</v>
      </c>
    </row>
    <row r="24">
      <c r="A24" s="13" t="inlineStr">
        <is>
          <t>Free cashflow (pre-financing)</t>
        </is>
      </c>
      <c r="B24" s="14">
        <f>B14+B13+B21+B22+B23</f>
        <v/>
      </c>
      <c r="C24" s="14">
        <f>C14+C13+C21+C22+C23</f>
        <v/>
      </c>
      <c r="D24" s="14">
        <f>D14+D13+D21+D22+D23</f>
        <v/>
      </c>
      <c r="E24" s="14">
        <f>E14+E13+E21+E22+E23</f>
        <v/>
      </c>
      <c r="F24" s="14">
        <f>F14+F13+F21+F22+F23</f>
        <v/>
      </c>
      <c r="G24" s="14">
        <f>G14+G13+G21+G22+G23</f>
        <v/>
      </c>
      <c r="H24" s="14">
        <f>H14+H13+H21+H22+H23</f>
        <v/>
      </c>
    </row>
    <row r="26">
      <c r="A26" s="5" t="inlineStr">
        <is>
          <t>Leverage</t>
        </is>
      </c>
    </row>
    <row r="27">
      <c r="A27" s="6" t="inlineStr">
        <is>
          <t xml:space="preserve">  Closing net debt</t>
        </is>
      </c>
      <c r="B27" s="7" t="n">
        <v>39800</v>
      </c>
      <c r="C27" s="7" t="n">
        <v>42600</v>
      </c>
      <c r="D27" s="7" t="n">
        <v>47400</v>
      </c>
      <c r="E27" s="7" t="n">
        <v>44900</v>
      </c>
      <c r="F27" s="7" t="n">
        <v>40100</v>
      </c>
      <c r="G27" s="7" t="n">
        <v>34200</v>
      </c>
      <c r="H27" s="7" t="n">
        <v>27800</v>
      </c>
    </row>
    <row r="28">
      <c r="A28" s="11" t="inlineStr">
        <is>
          <t>Net debt / EBITDA</t>
        </is>
      </c>
      <c r="B28" s="15">
        <f>B27/B14</f>
        <v/>
      </c>
      <c r="C28" s="15">
        <f>C27/C14</f>
        <v/>
      </c>
      <c r="D28" s="15">
        <f>D27/D14</f>
        <v/>
      </c>
      <c r="E28" s="15">
        <f>E27/E14</f>
        <v/>
      </c>
      <c r="F28" s="15">
        <f>F27/F14</f>
        <v/>
      </c>
      <c r="G28" s="15">
        <f>G27/G14</f>
        <v/>
      </c>
      <c r="H28" s="15">
        <f>H27/H14</f>
        <v/>
      </c>
    </row>
    <row r="29">
      <c r="A29" s="11" t="inlineStr">
        <is>
          <t>EBITDA / net finance costs (ICR)</t>
        </is>
      </c>
      <c r="B29" s="15">
        <f>B14/-B17</f>
        <v/>
      </c>
      <c r="C29" s="15">
        <f>C14/-C17</f>
        <v/>
      </c>
      <c r="D29" s="15">
        <f>D14/-D17</f>
        <v/>
      </c>
      <c r="E29" s="15">
        <f>E14/-E17</f>
        <v/>
      </c>
      <c r="F29" s="15">
        <f>F14/-F17</f>
        <v/>
      </c>
      <c r="G29" s="15">
        <f>G14/-G17</f>
        <v/>
      </c>
      <c r="H29" s="15">
        <f>H14/-H17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6" t="inlineStr">
        <is>
          <t>Project Ironhold — IBR base-case assumptions</t>
        </is>
      </c>
    </row>
    <row r="2">
      <c r="A2" s="17" t="inlineStr"/>
    </row>
    <row r="3">
      <c r="A3" s="17" t="inlineStr">
        <is>
          <t>1. Scope: consolidated Calverton Industries Limited group (parent, Calverton Fastenings Limited, Calverton Fluid Systems Limited).</t>
        </is>
      </c>
    </row>
    <row r="4">
      <c r="A4" s="17" t="inlineStr">
        <is>
          <t>2. FY2025 covenant breach: leverage of 4.9x against the 3.50x covenant in the Northbank senior facilities agreement; ICR of 1.63x against 3.00x covenant.</t>
        </is>
      </c>
    </row>
    <row r="5">
      <c r="A5" s="17" t="inlineStr">
        <is>
          <t>3. FY2025 revenue decline driven by loss of two automotive OEM fastenings programmes and destocking across the fluid-handling channel.</t>
        </is>
      </c>
    </row>
    <row r="6">
      <c r="A6" s="17" t="inlineStr">
        <is>
          <t>4. FY2026 exceptional of £2.6m comprises restructuring advisory, redundancy and the site consolidation of the Redditch fastenings line.</t>
        </is>
      </c>
    </row>
    <row r="7">
      <c r="A7" s="17" t="inlineStr">
        <is>
          <t>5. New-money super-senior facility of £12.0m assumed drawn 30% at the Restructuring Effective Date; funds site consolidation and working capital.</t>
        </is>
      </c>
    </row>
    <row r="8">
      <c r="A8" s="17" t="inlineStr">
        <is>
          <t>6. £6.0m of shareholder debt converted to equity at the RED; residual £15.0m shareholder loan subordinated and interest rolled to Dec 2029.</t>
        </is>
      </c>
    </row>
    <row r="9">
      <c r="A9" s="17" t="inlineStr">
        <is>
          <t>7. Covenant reset assumes a testing holiday to Q4 2026, with leverage stepping down from 4.50x (Dec 2026) to 3.00x (Dec 2029).</t>
        </is>
      </c>
    </row>
    <row r="10">
      <c r="A10" s="17" t="inlineStr">
        <is>
          <t>8. Base case is management's downside-adjusted plan; a sensitised low case (revenue -6%, margin -150bps) is modelled separately and remains covenant-compliant post-reset.</t>
        </is>
      </c>
    </row>
    <row r="11">
      <c r="A11" s="17" t="inlineStr">
        <is>
          <t>9. All figures reviewed by Marlow Tax &amp; Advisory Ltd; this model is an IBR working paper and not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2026-07-01T11:26:16Z</dcterms:created>
  <dcterms:modified xmlns:dcterms="http://purl.org/dc/terms/" xmlns:xsi="http://www.w3.org/2001/XMLSchema-instance" xsi:type="dcterms:W3CDTF">2026-07-01T11:26:16Z</dcterms:modified>
</cp:coreProperties>
</file>