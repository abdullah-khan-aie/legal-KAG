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nant Reset" sheetId="1" state="visible" r:id="rId1"/>
    <sheet xmlns:r="http://schemas.openxmlformats.org/officeDocument/2006/relationships" name="Covenant Defin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0&quot;x&quot;"/>
  </numFmts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sz val="10"/>
    </font>
    <font>
      <color rgb="00808080"/>
      <sz val="9"/>
    </font>
    <font>
      <name val="Calibri"/>
      <b val="1"/>
      <color rgb="00FFFFFF"/>
      <sz val="11"/>
    </font>
    <font>
      <b val="1"/>
    </font>
    <font>
      <b val="1"/>
      <color rgb="001F3864"/>
      <sz val="12"/>
    </font>
    <font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5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3" borderId="1" pivotButton="0" quotePrefix="0" xfId="0"/>
    <xf numFmtId="165" fontId="5" fillId="3" borderId="1" pivotButton="0" quotePrefix="0" xfId="0"/>
    <xf numFmtId="165" fontId="5" fillId="0" borderId="1" applyAlignment="1" pivotButton="0" quotePrefix="0" xfId="0">
      <alignment horizontal="right"/>
    </xf>
    <xf numFmtId="0" fontId="5" fillId="4" borderId="1" pivotButton="0" quotePrefix="0" xfId="0"/>
    <xf numFmtId="0" fontId="5" fillId="4" borderId="1" applyAlignment="1" pivotButton="0" quotePrefix="0" xfId="0">
      <alignment horizontal="right"/>
    </xf>
    <xf numFmtId="165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Calverton Industries Limited — Project Ironhold</t>
        </is>
      </c>
    </row>
    <row r="2">
      <c r="A2" s="2" t="inlineStr">
        <is>
          <t>Reset Financial Covenant Compliance Model (Schedule to Amendment &amp; Restatement Agreement)</t>
        </is>
      </c>
    </row>
    <row r="3">
      <c r="A3" s="3" t="inlineStr">
        <is>
          <t>£'000 unless stated  |  Quarterly test dates from the Restructuring Effective Date (24 April 2026)</t>
        </is>
      </c>
    </row>
    <row r="5">
      <c r="A5" s="4" t="inlineStr">
        <is>
          <t>Metric</t>
        </is>
      </c>
      <c r="B5" s="4" t="inlineStr">
        <is>
          <t>Q2-26</t>
        </is>
      </c>
      <c r="C5" s="4" t="inlineStr">
        <is>
          <t>Q3-26</t>
        </is>
      </c>
      <c r="D5" s="4" t="inlineStr">
        <is>
          <t>Q4-26</t>
        </is>
      </c>
      <c r="E5" s="4" t="inlineStr">
        <is>
          <t>Q1-27</t>
        </is>
      </c>
      <c r="F5" s="4" t="inlineStr">
        <is>
          <t>Q2-27</t>
        </is>
      </c>
      <c r="G5" s="4" t="inlineStr">
        <is>
          <t>Q3-27</t>
        </is>
      </c>
      <c r="H5" s="4" t="inlineStr">
        <is>
          <t>Q4-27</t>
        </is>
      </c>
      <c r="I5" s="4" t="inlineStr">
        <is>
          <t>Q1-28</t>
        </is>
      </c>
      <c r="J5" s="4" t="inlineStr">
        <is>
          <t>Q2-28</t>
        </is>
      </c>
      <c r="K5" s="4" t="inlineStr">
        <is>
          <t>Q3-28</t>
        </is>
      </c>
      <c r="L5" s="4" t="inlineStr">
        <is>
          <t>Q4-28</t>
        </is>
      </c>
      <c r="M5" s="4" t="inlineStr">
        <is>
          <t>Q4-29</t>
        </is>
      </c>
    </row>
    <row r="6">
      <c r="A6" s="5" t="inlineStr">
        <is>
          <t>LTM Adjusted EBITDA</t>
        </is>
      </c>
      <c r="B6" s="6" t="n">
        <v>8100</v>
      </c>
      <c r="C6" s="6" t="n">
        <v>8600</v>
      </c>
      <c r="D6" s="6" t="n">
        <v>9200</v>
      </c>
      <c r="E6" s="6" t="n">
        <v>9900</v>
      </c>
      <c r="F6" s="6" t="n">
        <v>10600</v>
      </c>
      <c r="G6" s="6" t="n">
        <v>11200</v>
      </c>
      <c r="H6" s="6" t="n">
        <v>11800</v>
      </c>
      <c r="I6" s="6" t="n">
        <v>12300</v>
      </c>
      <c r="J6" s="6" t="n">
        <v>12800</v>
      </c>
      <c r="K6" s="6" t="n">
        <v>13200</v>
      </c>
      <c r="L6" s="6" t="n">
        <v>13600</v>
      </c>
      <c r="M6" s="6" t="n">
        <v>15100</v>
      </c>
    </row>
    <row r="7">
      <c r="A7" s="7" t="inlineStr">
        <is>
          <t>Total net debt (incl. super-senior)</t>
        </is>
      </c>
      <c r="B7" s="8" t="n">
        <v>55600</v>
      </c>
      <c r="C7" s="8" t="n">
        <v>54100</v>
      </c>
      <c r="D7" s="8" t="n">
        <v>52200</v>
      </c>
      <c r="E7" s="8" t="n">
        <v>50300</v>
      </c>
      <c r="F7" s="8" t="n">
        <v>48100</v>
      </c>
      <c r="G7" s="8" t="n">
        <v>45900</v>
      </c>
      <c r="H7" s="8" t="n">
        <v>43200</v>
      </c>
      <c r="I7" s="8" t="n">
        <v>41100</v>
      </c>
      <c r="J7" s="8" t="n">
        <v>38800</v>
      </c>
      <c r="K7" s="8" t="n">
        <v>36600</v>
      </c>
      <c r="L7" s="8" t="n">
        <v>34200</v>
      </c>
      <c r="M7" s="8" t="n">
        <v>27800</v>
      </c>
    </row>
    <row r="8">
      <c r="A8" s="7" t="inlineStr">
        <is>
          <t>Super-senior net debt</t>
        </is>
      </c>
      <c r="B8" s="8" t="n">
        <v>3600</v>
      </c>
      <c r="C8" s="8" t="n">
        <v>4100</v>
      </c>
      <c r="D8" s="8" t="n">
        <v>4400</v>
      </c>
      <c r="E8" s="8" t="n">
        <v>4000</v>
      </c>
      <c r="F8" s="8" t="n">
        <v>3600</v>
      </c>
      <c r="G8" s="8" t="n">
        <v>3200</v>
      </c>
      <c r="H8" s="8" t="n">
        <v>2600</v>
      </c>
      <c r="I8" s="8" t="n">
        <v>2200</v>
      </c>
      <c r="J8" s="8" t="n">
        <v>1800</v>
      </c>
      <c r="K8" s="8" t="n">
        <v>1200</v>
      </c>
      <c r="L8" s="8" t="n">
        <v>600</v>
      </c>
      <c r="M8" s="8" t="n">
        <v>0</v>
      </c>
    </row>
    <row r="9">
      <c r="A9" s="7" t="inlineStr">
        <is>
          <t>LTM net finance costs</t>
        </is>
      </c>
      <c r="B9" s="8" t="n">
        <v>3450</v>
      </c>
      <c r="C9" s="8" t="n">
        <v>3480</v>
      </c>
      <c r="D9" s="8" t="n">
        <v>3500</v>
      </c>
      <c r="E9" s="8" t="n">
        <v>3480</v>
      </c>
      <c r="F9" s="8" t="n">
        <v>3400</v>
      </c>
      <c r="G9" s="8" t="n">
        <v>3300</v>
      </c>
      <c r="H9" s="8" t="n">
        <v>3200</v>
      </c>
      <c r="I9" s="8" t="n">
        <v>3100</v>
      </c>
      <c r="J9" s="8" t="n">
        <v>3000</v>
      </c>
      <c r="K9" s="8" t="n">
        <v>2900</v>
      </c>
      <c r="L9" s="8" t="n">
        <v>2850</v>
      </c>
      <c r="M9" s="8" t="n">
        <v>2500</v>
      </c>
    </row>
    <row r="10">
      <c r="A10" s="9" t="inlineStr">
        <is>
          <t>Actual: Total leverage</t>
        </is>
      </c>
      <c r="B10" s="10">
        <f>B7/B6</f>
        <v/>
      </c>
      <c r="C10" s="10">
        <f>C7/C6</f>
        <v/>
      </c>
      <c r="D10" s="10">
        <f>D7/D6</f>
        <v/>
      </c>
      <c r="E10" s="10">
        <f>E7/E6</f>
        <v/>
      </c>
      <c r="F10" s="10">
        <f>F7/F6</f>
        <v/>
      </c>
      <c r="G10" s="10">
        <f>G7/G6</f>
        <v/>
      </c>
      <c r="H10" s="10">
        <f>H7/H6</f>
        <v/>
      </c>
      <c r="I10" s="10">
        <f>I7/I6</f>
        <v/>
      </c>
      <c r="J10" s="10">
        <f>J7/J6</f>
        <v/>
      </c>
      <c r="K10" s="10">
        <f>K7/K6</f>
        <v/>
      </c>
      <c r="L10" s="10">
        <f>L7/L6</f>
        <v/>
      </c>
      <c r="M10" s="10">
        <f>M7/M6</f>
        <v/>
      </c>
    </row>
    <row r="11">
      <c r="A11" s="9" t="inlineStr">
        <is>
          <t>Actual: Interest cover (ICR)</t>
        </is>
      </c>
      <c r="B11" s="10">
        <f>B6/B9</f>
        <v/>
      </c>
      <c r="C11" s="10">
        <f>C6/C9</f>
        <v/>
      </c>
      <c r="D11" s="10">
        <f>D6/D9</f>
        <v/>
      </c>
      <c r="E11" s="10">
        <f>E6/E9</f>
        <v/>
      </c>
      <c r="F11" s="10">
        <f>F6/F9</f>
        <v/>
      </c>
      <c r="G11" s="10">
        <f>G6/G9</f>
        <v/>
      </c>
      <c r="H11" s="10">
        <f>H6/H9</f>
        <v/>
      </c>
      <c r="I11" s="10">
        <f>I6/I9</f>
        <v/>
      </c>
      <c r="J11" s="10">
        <f>J6/J9</f>
        <v/>
      </c>
      <c r="K11" s="10">
        <f>K6/K9</f>
        <v/>
      </c>
      <c r="L11" s="10">
        <f>L6/L9</f>
        <v/>
      </c>
      <c r="M11" s="10">
        <f>M6/M9</f>
        <v/>
      </c>
    </row>
    <row r="12">
      <c r="A12" s="5" t="inlineStr">
        <is>
          <t>Covenant: Max total leverage</t>
        </is>
      </c>
      <c r="B12" s="11" t="inlineStr">
        <is>
          <t>Holiday</t>
        </is>
      </c>
      <c r="C12" s="11" t="inlineStr">
        <is>
          <t>Holiday</t>
        </is>
      </c>
      <c r="D12" s="11" t="n">
        <v>4.5</v>
      </c>
      <c r="E12" s="11" t="n">
        <v>4.25</v>
      </c>
      <c r="F12" s="11" t="n">
        <v>4</v>
      </c>
      <c r="G12" s="11" t="n">
        <v>3.85</v>
      </c>
      <c r="H12" s="11" t="n">
        <v>3.7</v>
      </c>
      <c r="I12" s="11" t="n">
        <v>3.55</v>
      </c>
      <c r="J12" s="11" t="n">
        <v>3.4</v>
      </c>
      <c r="K12" s="11" t="n">
        <v>3.25</v>
      </c>
      <c r="L12" s="11" t="n">
        <v>3.15</v>
      </c>
      <c r="M12" s="11" t="n">
        <v>3</v>
      </c>
    </row>
    <row r="13">
      <c r="A13" s="5" t="inlineStr">
        <is>
          <t>Covenant: Min interest cover</t>
        </is>
      </c>
      <c r="B13" s="11" t="inlineStr">
        <is>
          <t>Holiday</t>
        </is>
      </c>
      <c r="C13" s="11" t="inlineStr">
        <is>
          <t>Holiday</t>
        </is>
      </c>
      <c r="D13" s="11" t="n">
        <v>2.5</v>
      </c>
      <c r="E13" s="11" t="n">
        <v>2.75</v>
      </c>
      <c r="F13" s="11" t="n">
        <v>3</v>
      </c>
      <c r="G13" s="11" t="n">
        <v>3</v>
      </c>
      <c r="H13" s="11" t="n">
        <v>3.25</v>
      </c>
      <c r="I13" s="11" t="n">
        <v>3.25</v>
      </c>
      <c r="J13" s="11" t="n">
        <v>3.5</v>
      </c>
      <c r="K13" s="11" t="n">
        <v>3.5</v>
      </c>
      <c r="L13" s="11" t="n">
        <v>3.75</v>
      </c>
      <c r="M13" s="11" t="n">
        <v>4</v>
      </c>
    </row>
    <row r="14">
      <c r="A14" s="12" t="inlineStr">
        <is>
          <t>Headroom: leverage covenant</t>
        </is>
      </c>
      <c r="B14" s="13" t="inlineStr">
        <is>
          <t>n/a</t>
        </is>
      </c>
      <c r="C14" s="13" t="inlineStr">
        <is>
          <t>n/a</t>
        </is>
      </c>
      <c r="D14" s="14">
        <f>D12-D10</f>
        <v/>
      </c>
      <c r="E14" s="14">
        <f>E12-E10</f>
        <v/>
      </c>
      <c r="F14" s="14">
        <f>F12-F10</f>
        <v/>
      </c>
      <c r="G14" s="14">
        <f>G12-G10</f>
        <v/>
      </c>
      <c r="H14" s="14">
        <f>H12-H10</f>
        <v/>
      </c>
      <c r="I14" s="14">
        <f>I12-I10</f>
        <v/>
      </c>
      <c r="J14" s="14">
        <f>J12-J10</f>
        <v/>
      </c>
      <c r="K14" s="14">
        <f>K12-K10</f>
        <v/>
      </c>
      <c r="L14" s="14">
        <f>L12-L10</f>
        <v/>
      </c>
      <c r="M14" s="14">
        <f>M12-M10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5" t="inlineStr">
        <is>
          <t>Reset financial covenants (Clause 21, Amendment &amp; Restatement Agreement)</t>
        </is>
      </c>
    </row>
    <row r="2">
      <c r="A2" s="16" t="inlineStr"/>
    </row>
    <row r="3">
      <c r="A3" s="16" t="inlineStr">
        <is>
          <t>Total Leverage: Total Net Debt to Adjusted EBITDA, tested quarterly on a last-twelve-months basis.</t>
        </is>
      </c>
    </row>
    <row r="4">
      <c r="A4" s="16" t="inlineStr">
        <is>
          <t>Testing holiday: no leverage or interest-cover test at the June 2026 or September 2026 test dates.</t>
        </is>
      </c>
    </row>
    <row r="5">
      <c r="A5" s="16" t="inlineStr">
        <is>
          <t>First test date: 31 December 2026 (leverage 4.50x; interest cover 2.50x).</t>
        </is>
      </c>
    </row>
    <row r="6">
      <c r="A6" s="16" t="inlineStr">
        <is>
          <t>Super-Senior Leverage: separately capped at 0.75x throughout; tested from December 2026.</t>
        </is>
      </c>
    </row>
    <row r="7">
      <c r="A7" s="16" t="inlineStr">
        <is>
          <t>Minimum liquidity: aggregate cash plus undrawn super-senior commitments not less than £4.0m at any month-end.</t>
        </is>
      </c>
    </row>
    <row r="8">
      <c r="A8" s="16" t="inlineStr">
        <is>
          <t>Equity cure: up to two cures across the life of the facilities, each subject to a £3.0m cap and applied to EBITDA.</t>
        </is>
      </c>
    </row>
    <row r="9">
      <c r="A9" s="16" t="inlineStr">
        <is>
          <t>Definitions of Adjusted EBITDA and Total Net Debt per Schedule 1 to the Senior Facilities Agreement as amended and restated.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2026-07-01T11:26:16Z</dcterms:created>
  <dcterms:modified xmlns:dcterms="http://purl.org/dc/terms/" xmlns:xsi="http://www.w3.org/2001/XMLSchema-instance" xsi:type="dcterms:W3CDTF">2026-07-01T11:26:16Z</dcterms:modified>
</cp:coreProperties>
</file>