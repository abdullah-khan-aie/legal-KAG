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&amp; Cov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FFFFFF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3" fontId="0" fillId="0" borderId="0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Calverton Industries Limited — Project Willow (WC-00150)</t>
        </is>
      </c>
    </row>
    <row r="2">
      <c r="A2" s="2" t="inlineStr">
        <is>
          <t>Debt structure and covenant model — pre and post amendment &amp; restatement (£'000)</t>
        </is>
      </c>
    </row>
    <row r="4">
      <c r="A4" s="3" t="inlineStr">
        <is>
          <t>DEBT STRUCTURE</t>
        </is>
      </c>
    </row>
    <row r="5">
      <c r="A5" s="4" t="inlineStr">
        <is>
          <t>Facility</t>
        </is>
      </c>
      <c r="B5" s="4" t="inlineStr">
        <is>
          <t>Pre-restructuring</t>
        </is>
      </c>
      <c r="C5" s="4" t="inlineStr">
        <is>
          <t>Post-restructuring</t>
        </is>
      </c>
      <c r="D5" s="4" t="inlineStr">
        <is>
          <t>Margin (over SONIA)</t>
        </is>
      </c>
      <c r="E5" s="4" t="inlineStr">
        <is>
          <t>Maturity</t>
        </is>
      </c>
    </row>
    <row r="6">
      <c r="A6" s="5" t="inlineStr">
        <is>
          <t>Revolving Credit Facility</t>
        </is>
      </c>
      <c r="B6" s="6" t="n">
        <v>18000</v>
      </c>
      <c r="C6" s="6" t="n">
        <v>18000</v>
      </c>
      <c r="D6" s="5" t="inlineStr">
        <is>
          <t>5.25%</t>
        </is>
      </c>
      <c r="E6" s="5" t="inlineStr">
        <is>
          <t>9 Mar 2028</t>
        </is>
      </c>
    </row>
    <row r="7">
      <c r="A7" s="5" t="inlineStr">
        <is>
          <t>Term Loan A</t>
        </is>
      </c>
      <c r="B7" s="6" t="n">
        <v>14000</v>
      </c>
      <c r="C7" s="6" t="n">
        <v>12000</v>
      </c>
      <c r="D7" s="5" t="inlineStr">
        <is>
          <t>5.25%</t>
        </is>
      </c>
      <c r="E7" s="5" t="inlineStr">
        <is>
          <t>9 Mar 2028</t>
        </is>
      </c>
    </row>
    <row r="8">
      <c r="A8" s="5" t="inlineStr">
        <is>
          <t>WC Facility (super-senior, new)</t>
        </is>
      </c>
      <c r="B8" s="6" t="n">
        <v>0</v>
      </c>
      <c r="C8" s="6" t="n">
        <v>3000</v>
      </c>
      <c r="D8" s="5" t="inlineStr">
        <is>
          <t>5.25%</t>
        </is>
      </c>
      <c r="E8" s="5" t="inlineStr">
        <is>
          <t>22 Nov 2027</t>
        </is>
      </c>
    </row>
    <row r="9">
      <c r="A9" s="7" t="inlineStr">
        <is>
          <t>Total senior debt drawn</t>
        </is>
      </c>
      <c r="B9" s="8">
        <f>SUM(B6:B8)</f>
        <v/>
      </c>
      <c r="C9" s="8">
        <f>SUM(C6:C8)</f>
        <v/>
      </c>
      <c r="D9" s="5" t="n"/>
      <c r="E9" s="5" t="n"/>
    </row>
    <row r="10">
      <c r="A10" t="inlineStr">
        <is>
          <t>New shareholder equity injected</t>
        </is>
      </c>
      <c r="C10" s="9" t="n">
        <v>4000</v>
      </c>
    </row>
    <row r="11">
      <c r="A11" t="inlineStr">
        <is>
          <t>Net senior debt (post, less WC undrawn assumption)</t>
        </is>
      </c>
    </row>
    <row r="13">
      <c r="A13" s="3" t="inlineStr">
        <is>
          <t>COVENANT PROJECTION (rolling 12-month)</t>
        </is>
      </c>
    </row>
    <row r="14">
      <c r="A14" s="4" t="inlineStr">
        <is>
          <t>Metric (£'000 / ratio)</t>
        </is>
      </c>
      <c r="B14" s="4" t="inlineStr">
        <is>
          <t>Q4 FY25 (actual)</t>
        </is>
      </c>
      <c r="C14" s="4" t="inlineStr">
        <is>
          <t>Jun-26</t>
        </is>
      </c>
      <c r="D14" s="4" t="inlineStr">
        <is>
          <t>Dec-26</t>
        </is>
      </c>
      <c r="E14" s="4" t="inlineStr">
        <is>
          <t>Jun-27</t>
        </is>
      </c>
      <c r="F14" s="4" t="inlineStr">
        <is>
          <t>Dec-27</t>
        </is>
      </c>
    </row>
    <row r="15">
      <c r="A15" s="5" t="inlineStr">
        <is>
          <t>EBITDA (LTM)</t>
        </is>
      </c>
      <c r="B15" s="6" t="n">
        <v>6900</v>
      </c>
      <c r="C15" s="6" t="n">
        <v>7200</v>
      </c>
      <c r="D15" s="6" t="n">
        <v>7900</v>
      </c>
      <c r="E15" s="6" t="n">
        <v>8600</v>
      </c>
      <c r="F15" s="6" t="n">
        <v>9100</v>
      </c>
    </row>
    <row r="16">
      <c r="A16" s="5" t="inlineStr">
        <is>
          <t>Total net debt</t>
        </is>
      </c>
      <c r="B16" s="6" t="n">
        <v>29000</v>
      </c>
      <c r="C16" s="6" t="n">
        <v>29500</v>
      </c>
      <c r="D16" s="6" t="n">
        <v>28500</v>
      </c>
      <c r="E16" s="6" t="n">
        <v>27500</v>
      </c>
      <c r="F16" s="6" t="n">
        <v>26500</v>
      </c>
    </row>
    <row r="17">
      <c r="A17" s="5" t="inlineStr">
        <is>
          <t>Leverage (Net Debt / EBITDA)</t>
        </is>
      </c>
      <c r="B17" s="10">
        <f>B16/B15</f>
        <v/>
      </c>
      <c r="C17" s="10">
        <f>C16/C15</f>
        <v/>
      </c>
      <c r="D17" s="10">
        <f>D16/D15</f>
        <v/>
      </c>
      <c r="E17" s="10">
        <f>E16/E15</f>
        <v/>
      </c>
      <c r="F17" s="10">
        <f>F16/F15</f>
        <v/>
      </c>
    </row>
    <row r="18">
      <c r="A18" s="5" t="inlineStr">
        <is>
          <t>Leverage covenant (max)</t>
        </is>
      </c>
      <c r="B18" s="10" t="n">
        <v>3.5</v>
      </c>
      <c r="C18" s="10" t="n">
        <v>4.75</v>
      </c>
      <c r="D18" s="10" t="n">
        <v>4.25</v>
      </c>
      <c r="E18" s="10" t="n">
        <v>3.75</v>
      </c>
      <c r="F18" s="10" t="n">
        <v>3.5</v>
      </c>
    </row>
    <row r="19">
      <c r="A19" s="5" t="inlineStr">
        <is>
          <t>Headroom (covenant - actual)</t>
        </is>
      </c>
      <c r="B19" s="5" t="n"/>
      <c r="C19" s="10">
        <f>C18-C17</f>
        <v/>
      </c>
      <c r="D19" s="10">
        <f>D18-D17</f>
        <v/>
      </c>
      <c r="E19" s="10">
        <f>E18-E17</f>
        <v/>
      </c>
      <c r="F19" s="10">
        <f>F18-F17</f>
        <v/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inlineStr">
        <is>
          <t>Cash available for debt service</t>
        </is>
      </c>
      <c r="B21" s="6" t="n">
        <v>7200</v>
      </c>
      <c r="C21" s="6" t="n">
        <v>7500</v>
      </c>
      <c r="D21" s="6" t="n">
        <v>8200</v>
      </c>
      <c r="E21" s="6" t="n">
        <v>8900</v>
      </c>
      <c r="F21" s="6" t="n">
        <v>9400</v>
      </c>
    </row>
    <row r="22">
      <c r="A22" s="5" t="inlineStr">
        <is>
          <t>Debt service (interest + scheduled amort)</t>
        </is>
      </c>
      <c r="B22" s="6" t="n">
        <v>6860</v>
      </c>
      <c r="C22" s="6" t="n">
        <v>6520</v>
      </c>
      <c r="D22" s="6" t="n">
        <v>6100</v>
      </c>
      <c r="E22" s="6" t="n">
        <v>5700</v>
      </c>
      <c r="F22" s="6" t="n">
        <v>5300</v>
      </c>
    </row>
    <row r="23">
      <c r="A23" s="5" t="inlineStr">
        <is>
          <t>DSCR (x)</t>
        </is>
      </c>
      <c r="B23" s="10">
        <f>B21/B22</f>
        <v/>
      </c>
      <c r="C23" s="10">
        <f>C21/C22</f>
        <v/>
      </c>
      <c r="D23" s="10">
        <f>D21/D22</f>
        <v/>
      </c>
      <c r="E23" s="10">
        <f>E21/E22</f>
        <v/>
      </c>
      <c r="F23" s="10">
        <f>F21/F22</f>
        <v/>
      </c>
    </row>
    <row r="24">
      <c r="A24" s="5" t="inlineStr">
        <is>
          <t>DSCR covenant (min)</t>
        </is>
      </c>
      <c r="B24" s="10" t="n">
        <v>1.2</v>
      </c>
      <c r="C24" s="10" t="n">
        <v>1.1</v>
      </c>
      <c r="D24" s="10" t="n">
        <v>1.1</v>
      </c>
      <c r="E24" s="10" t="n">
        <v>1.2</v>
      </c>
      <c r="F24" s="10" t="n">
        <v>1.2</v>
      </c>
    </row>
    <row r="26">
      <c r="A26" s="11" t="inlineStr">
        <is>
          <t>Note: Q4 FY25 actual leverage 4.20x (breach of 3.50x covenant) and DSCR 1.05x (breach of 1.20x floor). Standstill 20 Feb 2026; AAA effective 22 May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2026-06-26T22:22:09Z</dcterms:created>
  <dcterms:modified xmlns:dcterms="http://purl.org/dc/terms/" xmlns:xsi="http://www.w3.org/2001/XMLSchema-instance" xsi:type="dcterms:W3CDTF">2026-06-26T22:22:09Z</dcterms:modified>
</cp:coreProperties>
</file>