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Week Cash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Calverton Industries Limited — 13-Week Rolling Cash Flow Forecast (£'000)</t>
        </is>
      </c>
    </row>
    <row r="2">
      <c r="A2" s="2" t="inlineStr">
        <is>
          <t>Standstill reporting pack — week commencing 23 February 2026</t>
        </is>
      </c>
    </row>
    <row r="4">
      <c r="A4" s="3" t="inlineStr">
        <is>
          <t>Line item</t>
        </is>
      </c>
      <c r="B4" s="3" t="inlineStr">
        <is>
          <t>W1</t>
        </is>
      </c>
      <c r="C4" s="3" t="inlineStr">
        <is>
          <t>W2</t>
        </is>
      </c>
      <c r="D4" s="3" t="inlineStr">
        <is>
          <t>W3</t>
        </is>
      </c>
      <c r="E4" s="3" t="inlineStr">
        <is>
          <t>W4</t>
        </is>
      </c>
      <c r="F4" s="3" t="inlineStr">
        <is>
          <t>W5</t>
        </is>
      </c>
      <c r="G4" s="3" t="inlineStr">
        <is>
          <t>W6</t>
        </is>
      </c>
      <c r="H4" s="3" t="inlineStr">
        <is>
          <t>W7</t>
        </is>
      </c>
      <c r="I4" s="3" t="inlineStr">
        <is>
          <t>W8</t>
        </is>
      </c>
      <c r="J4" s="3" t="inlineStr">
        <is>
          <t>W9</t>
        </is>
      </c>
      <c r="K4" s="3" t="inlineStr">
        <is>
          <t>W10</t>
        </is>
      </c>
      <c r="L4" s="3" t="inlineStr">
        <is>
          <t>W11</t>
        </is>
      </c>
      <c r="M4" s="3" t="inlineStr">
        <is>
          <t>W12</t>
        </is>
      </c>
      <c r="N4" s="3" t="inlineStr">
        <is>
          <t>W13</t>
        </is>
      </c>
    </row>
    <row r="5">
      <c r="A5" s="4" t="inlineStr">
        <is>
          <t>Receipts from customers</t>
        </is>
      </c>
      <c r="B5" s="5" t="n">
        <v>260</v>
      </c>
      <c r="C5" s="5" t="n">
        <v>240</v>
      </c>
      <c r="D5" s="5" t="n">
        <v>310</v>
      </c>
      <c r="E5" s="5" t="n">
        <v>355</v>
      </c>
      <c r="F5" s="5" t="n">
        <v>300</v>
      </c>
      <c r="G5" s="5" t="n">
        <v>280</v>
      </c>
      <c r="H5" s="5" t="n">
        <v>330</v>
      </c>
      <c r="I5" s="5" t="n">
        <v>390</v>
      </c>
      <c r="J5" s="5" t="n">
        <v>300</v>
      </c>
      <c r="K5" s="5" t="n">
        <v>275</v>
      </c>
      <c r="L5" s="5" t="n">
        <v>340</v>
      </c>
      <c r="M5" s="5" t="n">
        <v>360</v>
      </c>
      <c r="N5" s="5" t="n">
        <v>315</v>
      </c>
    </row>
    <row r="6">
      <c r="A6" s="6" t="inlineStr">
        <is>
          <t>Total receipts</t>
        </is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  <c r="L6" s="5">
        <f>L5</f>
        <v/>
      </c>
      <c r="M6" s="5">
        <f>M5</f>
        <v/>
      </c>
      <c r="N6" s="5">
        <f>N5</f>
        <v/>
      </c>
    </row>
    <row r="7">
      <c r="A7" s="4" t="inlineStr">
        <is>
          <t>Operating costs / overheads</t>
        </is>
      </c>
      <c r="B7" s="5" t="n">
        <v>-120</v>
      </c>
      <c r="C7" s="5" t="n">
        <v>-115</v>
      </c>
      <c r="D7" s="5" t="n">
        <v>-130</v>
      </c>
      <c r="E7" s="5" t="n">
        <v>-140</v>
      </c>
      <c r="F7" s="5" t="n">
        <v>-118</v>
      </c>
      <c r="G7" s="5" t="n">
        <v>-122</v>
      </c>
      <c r="H7" s="5" t="n">
        <v>-135</v>
      </c>
      <c r="I7" s="5" t="n">
        <v>-150</v>
      </c>
      <c r="J7" s="5" t="n">
        <v>-120</v>
      </c>
      <c r="K7" s="5" t="n">
        <v>-116</v>
      </c>
      <c r="L7" s="5" t="n">
        <v>-138</v>
      </c>
      <c r="M7" s="5" t="n">
        <v>-142</v>
      </c>
      <c r="N7" s="5" t="n">
        <v>-128</v>
      </c>
    </row>
    <row r="8">
      <c r="A8" s="4" t="inlineStr">
        <is>
          <t>Payroll (4-weekly)</t>
        </is>
      </c>
      <c r="B8" s="5" t="n">
        <v>0</v>
      </c>
      <c r="C8" s="5" t="n">
        <v>0</v>
      </c>
      <c r="D8" s="5" t="n">
        <v>-210</v>
      </c>
      <c r="E8" s="5" t="n">
        <v>0</v>
      </c>
      <c r="F8" s="5" t="n">
        <v>0</v>
      </c>
      <c r="G8" s="5" t="n">
        <v>0</v>
      </c>
      <c r="H8" s="5" t="n">
        <v>-210</v>
      </c>
      <c r="I8" s="5" t="n">
        <v>0</v>
      </c>
      <c r="J8" s="5" t="n">
        <v>0</v>
      </c>
      <c r="K8" s="5" t="n">
        <v>0</v>
      </c>
      <c r="L8" s="5" t="n">
        <v>-210</v>
      </c>
      <c r="M8" s="5" t="n">
        <v>0</v>
      </c>
      <c r="N8" s="5" t="n">
        <v>0</v>
      </c>
    </row>
    <row r="9">
      <c r="A9" s="4" t="inlineStr">
        <is>
          <t>Supplier payments</t>
        </is>
      </c>
      <c r="B9" s="5" t="n">
        <v>-150</v>
      </c>
      <c r="C9" s="5" t="n">
        <v>-90</v>
      </c>
      <c r="D9" s="5" t="n">
        <v>-80</v>
      </c>
      <c r="E9" s="5" t="n">
        <v>-120</v>
      </c>
      <c r="F9" s="5" t="n">
        <v>-200</v>
      </c>
      <c r="G9" s="5" t="n">
        <v>-70</v>
      </c>
      <c r="H9" s="5" t="n">
        <v>-90</v>
      </c>
      <c r="I9" s="5" t="n">
        <v>-110</v>
      </c>
      <c r="J9" s="5" t="n">
        <v>-180</v>
      </c>
      <c r="K9" s="5" t="n">
        <v>-75</v>
      </c>
      <c r="L9" s="5" t="n">
        <v>-95</v>
      </c>
      <c r="M9" s="5" t="n">
        <v>-130</v>
      </c>
      <c r="N9" s="5" t="n">
        <v>-160</v>
      </c>
    </row>
    <row r="10">
      <c r="A10" s="4" t="inlineStr">
        <is>
          <t>Debt service (interest)</t>
        </is>
      </c>
      <c r="B10" s="5" t="n">
        <v>0</v>
      </c>
      <c r="C10" s="5" t="n">
        <v>0</v>
      </c>
      <c r="D10" s="5" t="n">
        <v>0</v>
      </c>
      <c r="E10" s="5" t="n">
        <v>-520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-520</v>
      </c>
      <c r="N10" s="5" t="n">
        <v>0</v>
      </c>
    </row>
    <row r="11">
      <c r="A11" s="6" t="inlineStr">
        <is>
          <t>Net cash flow</t>
        </is>
      </c>
      <c r="B11" s="7">
        <f>SUM(B6:B10)</f>
        <v/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  <c r="H11" s="7">
        <f>SUM(H6:H10)</f>
        <v/>
      </c>
      <c r="I11" s="7">
        <f>SUM(I6:I10)</f>
        <v/>
      </c>
      <c r="J11" s="7">
        <f>SUM(J6:J10)</f>
        <v/>
      </c>
      <c r="K11" s="7">
        <f>SUM(K6:K10)</f>
        <v/>
      </c>
      <c r="L11" s="7">
        <f>SUM(L6:L10)</f>
        <v/>
      </c>
      <c r="M11" s="7">
        <f>SUM(M6:M10)</f>
        <v/>
      </c>
      <c r="N11" s="7">
        <f>SUM(N6:N10)</f>
        <v/>
      </c>
    </row>
    <row r="12">
      <c r="A12" s="6" t="inlineStr">
        <is>
          <t>Opening balance</t>
        </is>
      </c>
      <c r="B12" s="5" t="n">
        <v>1850</v>
      </c>
      <c r="C12" s="5">
        <f>B13</f>
        <v/>
      </c>
      <c r="D12" s="5">
        <f>C13</f>
        <v/>
      </c>
      <c r="E12" s="5">
        <f>D13</f>
        <v/>
      </c>
      <c r="F12" s="5">
        <f>E13</f>
        <v/>
      </c>
      <c r="G12" s="5">
        <f>F13</f>
        <v/>
      </c>
      <c r="H12" s="5">
        <f>G13</f>
        <v/>
      </c>
      <c r="I12" s="5">
        <f>H13</f>
        <v/>
      </c>
      <c r="J12" s="5">
        <f>I13</f>
        <v/>
      </c>
      <c r="K12" s="5">
        <f>J13</f>
        <v/>
      </c>
      <c r="L12" s="5">
        <f>K13</f>
        <v/>
      </c>
      <c r="M12" s="5">
        <f>L13</f>
        <v/>
      </c>
      <c r="N12" s="5">
        <f>M13</f>
        <v/>
      </c>
    </row>
    <row r="13">
      <c r="A13" s="6" t="inlineStr">
        <is>
          <t>Closing balance</t>
        </is>
      </c>
      <c r="B13" s="7">
        <f>B12+B11</f>
        <v/>
      </c>
      <c r="C13" s="7">
        <f>C12+C11</f>
        <v/>
      </c>
      <c r="D13" s="7">
        <f>D12+D11</f>
        <v/>
      </c>
      <c r="E13" s="7">
        <f>E12+E11</f>
        <v/>
      </c>
      <c r="F13" s="7">
        <f>F12+F11</f>
        <v/>
      </c>
      <c r="G13" s="7">
        <f>G12+G11</f>
        <v/>
      </c>
      <c r="H13" s="7">
        <f>H12+H11</f>
        <v/>
      </c>
      <c r="I13" s="7">
        <f>I12+I11</f>
        <v/>
      </c>
      <c r="J13" s="7">
        <f>J12+J11</f>
        <v/>
      </c>
      <c r="K13" s="7">
        <f>K12+K11</f>
        <v/>
      </c>
      <c r="L13" s="7">
        <f>L12+L11</f>
        <v/>
      </c>
      <c r="M13" s="7">
        <f>M12+M11</f>
        <v/>
      </c>
      <c r="N13" s="7">
        <f>N12+N11</f>
        <v/>
      </c>
    </row>
    <row r="15">
      <c r="A15" s="8" t="inlineStr">
        <is>
          <t>RCF facility (£'000)</t>
        </is>
      </c>
      <c r="B15" s="9" t="n">
        <v>18000</v>
      </c>
    </row>
    <row r="16">
      <c r="A16" s="10" t="inlineStr">
        <is>
          <t>Note: minimum forecast cash buffer maintained above £1.0m throughout the standstill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2026-06-26T22:22:09Z</dcterms:created>
  <dcterms:modified xmlns:dcterms="http://purl.org/dc/terms/" xmlns:xsi="http://www.w3.org/2001/XMLSchema-instance" xsi:type="dcterms:W3CDTF">2026-06-26T22:22:09Z</dcterms:modified>
</cp:coreProperties>
</file>