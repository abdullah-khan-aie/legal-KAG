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6" customWidth="1" min="3" max="3"/>
  </cols>
  <sheetData>
    <row r="1">
      <c r="A1" s="1" t="inlineStr">
        <is>
          <t>Project Willow — Completion Funds Flow Statement (£)</t>
        </is>
      </c>
    </row>
    <row r="2">
      <c r="A2" s="2" t="inlineStr">
        <is>
          <t>Effective Date: 22 May 2026</t>
        </is>
      </c>
    </row>
    <row r="4">
      <c r="A4" s="3" t="inlineStr">
        <is>
          <t>SOURCES</t>
        </is>
      </c>
    </row>
    <row r="5">
      <c r="A5" s="4" t="inlineStr">
        <is>
          <t>Source</t>
        </is>
      </c>
      <c r="B5" s="4" t="inlineStr">
        <is>
          <t>Provider</t>
        </is>
      </c>
      <c r="C5" s="4" t="inlineStr">
        <is>
          <t>Amount (£)</t>
        </is>
      </c>
    </row>
    <row r="6">
      <c r="A6" s="5" t="inlineStr">
        <is>
          <t>New equity subscription</t>
        </is>
      </c>
      <c r="B6" s="5" t="inlineStr">
        <is>
          <t>Calverton family interests</t>
        </is>
      </c>
      <c r="C6" s="6" t="n">
        <v>3000000</v>
      </c>
    </row>
    <row r="7">
      <c r="A7" s="5" t="inlineStr">
        <is>
          <t>New equity subscription</t>
        </is>
      </c>
      <c r="B7" s="5" t="inlineStr">
        <is>
          <t>Robert Dukes</t>
        </is>
      </c>
      <c r="C7" s="6" t="n">
        <v>1000000</v>
      </c>
    </row>
    <row r="8">
      <c r="A8" s="7" t="inlineStr">
        <is>
          <t>Total sources</t>
        </is>
      </c>
      <c r="B8" s="5" t="n"/>
      <c r="C8" s="8">
        <f>SUM(C6:C7)</f>
        <v/>
      </c>
    </row>
    <row r="10">
      <c r="A10" s="3" t="inlineStr">
        <is>
          <t>USES</t>
        </is>
      </c>
    </row>
    <row r="11">
      <c r="A11" s="4" t="inlineStr">
        <is>
          <t>Use</t>
        </is>
      </c>
      <c r="B11" s="4" t="inlineStr">
        <is>
          <t>Payee</t>
        </is>
      </c>
      <c r="C11" s="4" t="inlineStr">
        <is>
          <t>Amount (£)</t>
        </is>
      </c>
    </row>
    <row r="12">
      <c r="A12" s="5" t="inlineStr">
        <is>
          <t>Term Loan A prepayment</t>
        </is>
      </c>
      <c r="B12" s="5" t="inlineStr">
        <is>
          <t>Pennine Business Bank plc</t>
        </is>
      </c>
      <c r="C12" s="6" t="n">
        <v>2000000</v>
      </c>
    </row>
    <row r="13">
      <c r="A13" s="5" t="inlineStr">
        <is>
          <t>Amendment / consent fee</t>
        </is>
      </c>
      <c r="B13" s="5" t="inlineStr">
        <is>
          <t>Pennine Business Bank plc</t>
        </is>
      </c>
      <c r="C13" s="6" t="n">
        <v>150000</v>
      </c>
    </row>
    <row r="14">
      <c r="A14" s="5" t="inlineStr">
        <is>
          <t>WC Facility arrangement fee (1.25% of £3.0m)</t>
        </is>
      </c>
      <c r="B14" s="5" t="inlineStr">
        <is>
          <t>Pennine Business Bank plc</t>
        </is>
      </c>
      <c r="C14" s="6" t="n">
        <v>37500</v>
      </c>
    </row>
    <row r="15">
      <c r="A15" s="5" t="inlineStr">
        <is>
          <t>Bank's legal costs</t>
        </is>
      </c>
      <c r="B15" s="5" t="inlineStr">
        <is>
          <t>Pendle Voss LLP</t>
        </is>
      </c>
      <c r="C15" s="6" t="n">
        <v>62000</v>
      </c>
    </row>
    <row r="16">
      <c r="A16" s="5" t="inlineStr">
        <is>
          <t>Company's legal costs</t>
        </is>
      </c>
      <c r="B16" s="5" t="inlineStr">
        <is>
          <t>Whitfield Carter LLP</t>
        </is>
      </c>
      <c r="C16" s="6" t="n">
        <v>118000</v>
      </c>
    </row>
    <row r="17">
      <c r="A17" s="5" t="inlineStr">
        <is>
          <t>IBR / advisory costs</t>
        </is>
      </c>
      <c r="B17" s="5" t="inlineStr">
        <is>
          <t>Marlow Tax &amp; Advisory Ltd</t>
        </is>
      </c>
      <c r="C17" s="6" t="n">
        <v>95000</v>
      </c>
    </row>
    <row r="18">
      <c r="A18" s="5" t="inlineStr">
        <is>
          <t>Retained for working capital</t>
        </is>
      </c>
      <c r="B18" s="5" t="inlineStr">
        <is>
          <t>Calverton Industries Limited</t>
        </is>
      </c>
      <c r="C18" s="6" t="n">
        <v>1537500</v>
      </c>
    </row>
    <row r="19">
      <c r="A19" s="7" t="inlineStr">
        <is>
          <t>Total uses</t>
        </is>
      </c>
      <c r="B19" s="5" t="n"/>
      <c r="C19" s="8">
        <f>SUM(C12:C18)</f>
        <v/>
      </c>
    </row>
    <row r="21">
      <c r="A21" s="3" t="inlineStr">
        <is>
          <t>Sources less uses (must be nil)</t>
        </is>
      </c>
      <c r="C21" s="9">
        <f>C8-C19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2026-06-26T22:22:09Z</dcterms:created>
  <dcterms:modified xmlns:dcterms="http://purl.org/dc/terms/" xmlns:xsi="http://www.w3.org/2001/XMLSchema-instance" xsi:type="dcterms:W3CDTF">2026-06-26T22:22:09Z</dcterms:modified>
</cp:coreProperties>
</file>