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595959"/>
      <sz val="11"/>
    </font>
    <font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5" fillId="3" borderId="1" pivotButton="0" quotePrefix="0" xfId="0"/>
    <xf numFmtId="0" fontId="0" fillId="3" borderId="1" applyAlignment="1" pivotButton="0" quotePrefix="0" xfId="0">
      <alignment horizontal="right"/>
    </xf>
    <xf numFmtId="164" fontId="0" fillId="3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pivotButton="0" quotePrefix="0" xfId="0"/>
    <xf numFmtId="164" fontId="5" fillId="3" borderId="1" pivotButton="0" quotePrefix="0" xfId="0"/>
    <xf numFmtId="0" fontId="0" fillId="4" borderId="1" pivotButton="0" quotePrefix="0" xfId="0"/>
    <xf numFmtId="0" fontId="6" fillId="4" borderId="1" pivotButton="0" quotePrefix="0" xfId="0"/>
    <xf numFmtId="164" fontId="6" fillId="4" borderId="1" pivotButton="0" quotePrefix="0" xfId="0"/>
    <xf numFmtId="0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54" customWidth="1" min="3" max="3"/>
    <col width="11" customWidth="1" min="4" max="4"/>
    <col width="13" customWidth="1" min="5" max="5"/>
    <col width="15" customWidth="1" min="6" max="6"/>
  </cols>
  <sheetData>
    <row r="1">
      <c r="A1" s="1" t="inlineStr">
        <is>
          <t>Calverton Industries Limited v Ferncliffe Alloys Limited</t>
        </is>
      </c>
    </row>
    <row r="2">
      <c r="A2" s="2" t="inlineStr">
        <is>
          <t>Claim No. HT-2025-000412  —  Claimant's Schedule of Loss</t>
        </is>
      </c>
    </row>
    <row r="3">
      <c r="A3" s="3" t="inlineStr">
        <is>
          <t>Prepared by Whitfield Carter LLP   |   Values exclusive of VAT where recoverable   |   As at 27 March 2026</t>
        </is>
      </c>
    </row>
    <row r="5">
      <c r="A5" s="4" t="inlineStr">
        <is>
          <t>Ref</t>
        </is>
      </c>
      <c r="B5" s="4" t="inlineStr">
        <is>
          <t>Head of loss</t>
        </is>
      </c>
      <c r="C5" s="4" t="inlineStr">
        <is>
          <t>Description / basis</t>
        </is>
      </c>
      <c r="D5" s="4" t="inlineStr">
        <is>
          <t>Qty / units</t>
        </is>
      </c>
      <c r="E5" s="4" t="inlineStr">
        <is>
          <t>Unit cost (£)</t>
        </is>
      </c>
      <c r="F5" s="4" t="inlineStr">
        <is>
          <t>Amount (£)</t>
        </is>
      </c>
    </row>
    <row r="6">
      <c r="A6" s="5" t="n"/>
      <c r="B6" s="5" t="n"/>
      <c r="C6" s="5" t="n"/>
      <c r="D6" s="5" t="n"/>
      <c r="E6" s="5" t="n"/>
      <c r="F6" s="5" t="n"/>
    </row>
    <row r="7">
      <c r="A7" s="6" t="inlineStr">
        <is>
          <t>A</t>
        </is>
      </c>
      <c r="B7" s="7" t="inlineStr">
        <is>
          <t>INVESTIGATION &amp; TESTING</t>
        </is>
      </c>
      <c r="C7" s="6" t="n"/>
      <c r="D7" s="8" t="n"/>
      <c r="E7" s="9" t="n"/>
      <c r="F7" s="9" t="n"/>
    </row>
    <row r="8">
      <c r="A8" s="5" t="inlineStr">
        <is>
          <t>A1</t>
        </is>
      </c>
      <c r="B8" s="5" t="n"/>
      <c r="C8" s="5" t="inlineStr">
        <is>
          <t>Wraysbury Materials Laboratory — metallurgical testing &amp; report</t>
        </is>
      </c>
      <c r="D8" s="10" t="n">
        <v>1</v>
      </c>
      <c r="E8" s="11" t="n">
        <v>41500</v>
      </c>
      <c r="F8" s="11">
        <f>D7*E7</f>
        <v/>
      </c>
    </row>
    <row r="9">
      <c r="A9" s="5" t="inlineStr">
        <is>
          <t>A2</t>
        </is>
      </c>
      <c r="B9" s="5" t="n"/>
      <c r="C9" s="5" t="inlineStr">
        <is>
          <t>Internal engineering investigation (failure analysis, 320 hrs @ £85)</t>
        </is>
      </c>
      <c r="D9" s="10" t="n">
        <v>320</v>
      </c>
      <c r="E9" s="11" t="n">
        <v>85</v>
      </c>
      <c r="F9" s="11">
        <f>D8*E8</f>
        <v/>
      </c>
    </row>
    <row r="10">
      <c r="A10" s="5" t="inlineStr">
        <is>
          <t>A3</t>
        </is>
      </c>
      <c r="B10" s="5" t="n"/>
      <c r="C10" s="5" t="inlineStr">
        <is>
          <t>Third-party PMI / verification testing of remaining stock</t>
        </is>
      </c>
      <c r="D10" s="10" t="n">
        <v>1</v>
      </c>
      <c r="E10" s="11" t="n">
        <v>15800</v>
      </c>
      <c r="F10" s="11">
        <f>D9*E9</f>
        <v/>
      </c>
    </row>
    <row r="11">
      <c r="A11" s="6" t="inlineStr"/>
      <c r="B11" s="7" t="inlineStr">
        <is>
          <t>Sub-total — Investigation &amp; testing</t>
        </is>
      </c>
      <c r="C11" s="6" t="n"/>
      <c r="D11" s="8" t="n"/>
      <c r="E11" s="9" t="n"/>
      <c r="F11" s="12">
        <f>SUM(F7:F9)</f>
        <v/>
      </c>
    </row>
    <row r="12">
      <c r="A12" s="6" t="inlineStr">
        <is>
          <t>B</t>
        </is>
      </c>
      <c r="B12" s="7" t="inlineStr">
        <is>
          <t>RECALL &amp; FIELD REPLACEMENT</t>
        </is>
      </c>
      <c r="C12" s="6" t="n"/>
      <c r="D12" s="8" t="n"/>
      <c r="E12" s="9" t="n"/>
      <c r="F12" s="9" t="n"/>
    </row>
    <row r="13">
      <c r="A13" s="5" t="inlineStr">
        <is>
          <t>B1</t>
        </is>
      </c>
      <c r="B13" s="5" t="n"/>
      <c r="C13" s="5" t="inlineStr">
        <is>
          <t>Replacement CDF-316 assemblies issued to field (4,820 units @ £58)</t>
        </is>
      </c>
      <c r="D13" s="10" t="n">
        <v>4820</v>
      </c>
      <c r="E13" s="11" t="n">
        <v>58</v>
      </c>
      <c r="F13" s="11">
        <f>D12*E12</f>
        <v/>
      </c>
    </row>
    <row r="14">
      <c r="A14" s="5" t="inlineStr">
        <is>
          <t>B2</t>
        </is>
      </c>
      <c r="B14" s="5" t="n"/>
      <c r="C14" s="5" t="inlineStr">
        <is>
          <t>Field service &amp; installation labour (recall programme)</t>
        </is>
      </c>
      <c r="D14" s="10" t="n">
        <v>1</v>
      </c>
      <c r="E14" s="11" t="n">
        <v>196000</v>
      </c>
      <c r="F14" s="11">
        <f>D13*E13</f>
        <v/>
      </c>
    </row>
    <row r="15">
      <c r="A15" s="5" t="inlineStr">
        <is>
          <t>B3</t>
        </is>
      </c>
      <c r="B15" s="5" t="n"/>
      <c r="C15" s="5" t="inlineStr">
        <is>
          <t>Logistics, carriage &amp; uplift of failed parts</t>
        </is>
      </c>
      <c r="D15" s="10" t="n">
        <v>1</v>
      </c>
      <c r="E15" s="11" t="n">
        <v>84400</v>
      </c>
      <c r="F15" s="11">
        <f>D14*E14</f>
        <v/>
      </c>
    </row>
    <row r="16">
      <c r="A16" s="5" t="inlineStr">
        <is>
          <t>B4</t>
        </is>
      </c>
      <c r="B16" s="5" t="n"/>
      <c r="C16" s="5" t="inlineStr">
        <is>
          <t>Recall programme management &amp; administration</t>
        </is>
      </c>
      <c r="D16" s="10" t="n">
        <v>1</v>
      </c>
      <c r="E16" s="11" t="n">
        <v>52000</v>
      </c>
      <c r="F16" s="11">
        <f>D15*E15</f>
        <v/>
      </c>
    </row>
    <row r="17">
      <c r="A17" s="6" t="inlineStr"/>
      <c r="B17" s="7" t="inlineStr">
        <is>
          <t>Sub-total — Recall &amp; field replacement</t>
        </is>
      </c>
      <c r="C17" s="6" t="n"/>
      <c r="D17" s="8" t="n"/>
      <c r="E17" s="9" t="n"/>
      <c r="F17" s="12">
        <f>SUM(F12:F15)</f>
        <v/>
      </c>
    </row>
    <row r="18">
      <c r="A18" s="6" t="inlineStr">
        <is>
          <t>C</t>
        </is>
      </c>
      <c r="B18" s="7" t="inlineStr">
        <is>
          <t>SCRAP, REWORK &amp; CREDITS</t>
        </is>
      </c>
      <c r="C18" s="6" t="n"/>
      <c r="D18" s="8" t="n"/>
      <c r="E18" s="9" t="n"/>
      <c r="F18" s="9" t="n"/>
    </row>
    <row r="19">
      <c r="A19" s="5" t="inlineStr">
        <is>
          <t>C1</t>
        </is>
      </c>
      <c r="B19" s="5" t="n"/>
      <c r="C19" s="5" t="inlineStr">
        <is>
          <t>Scrapped non-conforming bar &amp; WIP (12.9 tonnes)</t>
        </is>
      </c>
      <c r="D19" s="10" t="n">
        <v>12.9</v>
      </c>
      <c r="E19" s="11" t="n">
        <v>6200</v>
      </c>
      <c r="F19" s="11">
        <f>D18*E18</f>
        <v/>
      </c>
    </row>
    <row r="20">
      <c r="A20" s="5" t="inlineStr">
        <is>
          <t>C2</t>
        </is>
      </c>
      <c r="B20" s="5" t="n"/>
      <c r="C20" s="5" t="inlineStr">
        <is>
          <t>Rework of recoverable assemblies</t>
        </is>
      </c>
      <c r="D20" s="10" t="n">
        <v>1</v>
      </c>
      <c r="E20" s="11" t="n">
        <v>96800</v>
      </c>
      <c r="F20" s="11">
        <f>D19*E19</f>
        <v/>
      </c>
    </row>
    <row r="21">
      <c r="A21" s="5" t="inlineStr">
        <is>
          <t>C3</t>
        </is>
      </c>
      <c r="B21" s="5" t="n"/>
      <c r="C21" s="5" t="inlineStr">
        <is>
          <t>Customer credits &amp; warranty settlements</t>
        </is>
      </c>
      <c r="D21" s="10" t="n">
        <v>1</v>
      </c>
      <c r="E21" s="11" t="n">
        <v>121620</v>
      </c>
      <c r="F21" s="11">
        <f>D20*E20</f>
        <v/>
      </c>
    </row>
    <row r="22">
      <c r="A22" s="6" t="inlineStr"/>
      <c r="B22" s="7" t="inlineStr">
        <is>
          <t>Sub-total — Scrap, rework &amp; credits</t>
        </is>
      </c>
      <c r="C22" s="6" t="n"/>
      <c r="D22" s="8" t="n"/>
      <c r="E22" s="9" t="n"/>
      <c r="F22" s="12">
        <f>SUM(F18:F20)</f>
        <v/>
      </c>
    </row>
    <row r="23">
      <c r="A23" s="6" t="inlineStr">
        <is>
          <t>D</t>
        </is>
      </c>
      <c r="B23" s="7" t="inlineStr">
        <is>
          <t>LOSS OF PROFIT — WEXBOURNE CONTRACT</t>
        </is>
      </c>
      <c r="C23" s="6" t="n"/>
      <c r="D23" s="8" t="n"/>
      <c r="E23" s="9" t="n"/>
      <c r="F23" s="9" t="n"/>
    </row>
    <row r="24">
      <c r="A24" s="5" t="inlineStr">
        <is>
          <t>D1</t>
        </is>
      </c>
      <c r="B24" s="5" t="n"/>
      <c r="C24" s="5" t="inlineStr">
        <is>
          <t>Lost gross profit, Dec 2024–May 2026 (remaining term, £288k p.a.)</t>
        </is>
      </c>
      <c r="D24" s="10" t="n">
        <v>1</v>
      </c>
      <c r="E24" s="11" t="n">
        <v>0</v>
      </c>
      <c r="F24" s="11" t="n"/>
    </row>
    <row r="25">
      <c r="A25" s="5" t="inlineStr">
        <is>
          <t>D2</t>
        </is>
      </c>
      <c r="B25" s="5" t="n"/>
      <c r="C25" s="5" t="inlineStr">
        <is>
          <t xml:space="preserve">  Lost gross profit (17.5 months @ £24,000/month)</t>
        </is>
      </c>
      <c r="D25" s="10" t="n">
        <v>17.5</v>
      </c>
      <c r="E25" s="11" t="n">
        <v>24000</v>
      </c>
      <c r="F25" s="11">
        <f>D23*E23</f>
        <v/>
      </c>
    </row>
    <row r="26">
      <c r="A26" s="5" t="inlineStr">
        <is>
          <t>D3</t>
        </is>
      </c>
      <c r="B26" s="5" t="n"/>
      <c r="C26" s="5" t="inlineStr">
        <is>
          <t xml:space="preserve">  Less: credit for replacement business secured</t>
        </is>
      </c>
      <c r="D26" s="10" t="n">
        <v>1</v>
      </c>
      <c r="E26" s="11" t="n">
        <v>-155000</v>
      </c>
      <c r="F26" s="11">
        <f>D24*E24</f>
        <v/>
      </c>
    </row>
    <row r="27">
      <c r="A27" s="6" t="inlineStr"/>
      <c r="B27" s="7" t="inlineStr">
        <is>
          <t>Sub-total — Loss of profit (net of mitigation)</t>
        </is>
      </c>
      <c r="C27" s="6" t="n"/>
      <c r="D27" s="8" t="n"/>
      <c r="E27" s="9" t="n"/>
      <c r="F27" s="12">
        <f>SUM(F23:F24)</f>
        <v/>
      </c>
    </row>
    <row r="28">
      <c r="A28" s="6" t="inlineStr">
        <is>
          <t>E</t>
        </is>
      </c>
      <c r="B28" s="7" t="inlineStr">
        <is>
          <t>WASTED MANAGEMENT TIME</t>
        </is>
      </c>
      <c r="C28" s="6" t="n"/>
      <c r="D28" s="8" t="n"/>
      <c r="E28" s="9" t="n"/>
      <c r="F28" s="9" t="n"/>
    </row>
    <row r="29">
      <c r="A29" s="5" t="inlineStr">
        <is>
          <t>E1</t>
        </is>
      </c>
      <c r="B29" s="5" t="n"/>
      <c r="C29" s="5" t="inlineStr">
        <is>
          <t>Senior management time (recall &amp; customer mgmt, 500 hrs @ £125)</t>
        </is>
      </c>
      <c r="D29" s="10" t="n">
        <v>500</v>
      </c>
      <c r="E29" s="11" t="n">
        <v>125</v>
      </c>
      <c r="F29" s="11">
        <f>D27*E27</f>
        <v/>
      </c>
    </row>
    <row r="30">
      <c r="A30" s="6" t="inlineStr"/>
      <c r="B30" s="7" t="inlineStr">
        <is>
          <t>Sub-total — Management time</t>
        </is>
      </c>
      <c r="C30" s="6" t="n"/>
      <c r="D30" s="8" t="n"/>
      <c r="E30" s="9" t="n"/>
      <c r="F30" s="12">
        <f>SUM(F27:F27)</f>
        <v/>
      </c>
    </row>
    <row r="31">
      <c r="A31" s="5" t="n"/>
      <c r="B31" s="5" t="n"/>
      <c r="C31" s="5" t="n"/>
      <c r="D31" s="5" t="n"/>
      <c r="E31" s="5" t="n"/>
      <c r="F31" s="5" t="n"/>
    </row>
    <row r="32">
      <c r="A32" s="13" t="n"/>
      <c r="B32" s="14" t="inlineStr">
        <is>
          <t>TOTAL CLAIM (excluding interest and costs)</t>
        </is>
      </c>
      <c r="C32" s="13" t="n"/>
      <c r="D32" s="13" t="n"/>
      <c r="E32" s="13" t="n"/>
      <c r="F32" s="15">
        <f>F11+F17+F22+F27+F30</f>
        <v/>
      </c>
    </row>
    <row r="33">
      <c r="A33" s="5" t="n"/>
      <c r="B33" s="5" t="inlineStr">
        <is>
          <t>Interest to date (s.35A SCA 1981, 8% simple from 11.12.2024, illustrative)</t>
        </is>
      </c>
      <c r="C33" s="5" t="n"/>
      <c r="D33" s="5" t="n"/>
      <c r="E33" s="5" t="n"/>
      <c r="F33" s="11">
        <f>F32*0.08*1.30</f>
        <v/>
      </c>
    </row>
    <row r="34">
      <c r="A34" s="5" t="n"/>
      <c r="B34" s="16" t="inlineStr">
        <is>
          <t>TOTAL INCLUDING ILLUSTRATIVE INTEREST</t>
        </is>
      </c>
      <c r="C34" s="5" t="n"/>
      <c r="D34" s="5" t="n"/>
      <c r="E34" s="5" t="n"/>
      <c r="F34" s="17">
        <f>F32+F33</f>
        <v/>
      </c>
    </row>
    <row r="36">
      <c r="B36" s="3" t="inlineStr">
        <is>
          <t>Note: this Schedule is provisional and subject to the expert evidence on causation and quantum. Interest shown is illustrative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2026-06-26T11:13:32Z</dcterms:created>
  <dcterms:modified xmlns:dcterms="http://purl.org/dc/terms/" xmlns:xsi="http://www.w3.org/2001/XMLSchema-instance" xsi:type="dcterms:W3CDTF">2026-06-26T11:13:32Z</dcterms:modified>
</cp:coreProperties>
</file>