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letion Statement" sheetId="1" state="visible" r:id="rId3"/>
    <sheet name="Rent Schedul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<sst xmlns="http://schemas.openxmlformats.org/spreadsheetml/2006/main" count="45" uniqueCount="45">
  <si>
    <t xml:space="preserve">Halgarth Estates Limited — Completion Statement</t>
  </si>
  <si>
    <t xml:space="preserve">Grant of lease: Fourth and Fifth Floors, Pinnacle House, 12 Wellington Place, Leeds LS1 4AP</t>
  </si>
  <si>
    <t xml:space="preserve">Completion 29 September 2024  |  Matter ref SW/EM/HAL0191  |  Acting for the Landlord</t>
  </si>
  <si>
    <t xml:space="preserve">Item</t>
  </si>
  <si>
    <t xml:space="preserve">Due from Tenant (£)</t>
  </si>
  <si>
    <t xml:space="preserve">Note</t>
  </si>
  <si>
    <t xml:space="preserve">Rent deposit (6 months' rent)</t>
  </si>
  <si>
    <t xml:space="preserve">Held under Rent Deposit Deed; 50% releasable yr 3</t>
  </si>
  <si>
    <t xml:space="preserve">VAT on rent deposit (20%)</t>
  </si>
  <si>
    <t xml:space="preserve">Option to tax exercised 1 Apr 2016</t>
  </si>
  <si>
    <t xml:space="preserve">Apportioned insurance rent (29 Sep – 24 Dec 2024)</t>
  </si>
  <si>
    <t xml:space="preserve">Tenant's proportion of block premium, 87 days</t>
  </si>
  <si>
    <t xml:space="preserve">Apportioned service charge on account (to 24 Dec 2024)</t>
  </si>
  <si>
    <t xml:space="preserve">On-account at £8.75/sq ft cap, 87/365 days</t>
  </si>
  <si>
    <t xml:space="preserve">Land Registry notice / registration recharge</t>
  </si>
  <si>
    <t xml:space="preserve">Tenant bears registration cost (term &gt; 7 yrs)</t>
  </si>
  <si>
    <t xml:space="preserve">Total due from Tenant on completion</t>
  </si>
  <si>
    <t xml:space="preserve">First principal rent (29 Jun 2025): £153,125.00 — one quarter of £612,500 p.a. after 9-month rent-free period.</t>
  </si>
  <si>
    <t xml:space="preserve">Rent Schedule — initial term</t>
  </si>
  <si>
    <t xml:space="preserve">Year</t>
  </si>
  <si>
    <t xml:space="preserve">Period</t>
  </si>
  <si>
    <t xml:space="preserve">Annual Rent (£)</t>
  </si>
  <si>
    <t xml:space="preserve">Quarterly (£)</t>
  </si>
  <si>
    <t xml:space="preserve">Notes</t>
  </si>
  <si>
    <t xml:space="preserve">1</t>
  </si>
  <si>
    <t xml:space="preserve">29 Sep 2024 – 28 Sep 2025</t>
  </si>
  <si>
    <t xml:space="preserve">9 months rent-free; first payment 29 Jun 2025</t>
  </si>
  <si>
    <t xml:space="preserve">2</t>
  </si>
  <si>
    <t xml:space="preserve">29 Sep 2025 – 28 Sep 2026</t>
  </si>
  <si>
    <t xml:space="preserve">Full rent</t>
  </si>
  <si>
    <t xml:space="preserve">3</t>
  </si>
  <si>
    <t xml:space="preserve">29 Sep 2026 – 28 Sep 2027</t>
  </si>
  <si>
    <t xml:space="preserve">50% deposit release at yr 3</t>
  </si>
  <si>
    <t xml:space="preserve">4</t>
  </si>
  <si>
    <t xml:space="preserve">29 Sep 2027 – 28 Sep 2028</t>
  </si>
  <si>
    <t xml:space="preserve">5</t>
  </si>
  <si>
    <t xml:space="preserve">29 Sep 2028 – 28 Sep 2029</t>
  </si>
  <si>
    <t xml:space="preserve">Review effective 29 Sep 2029</t>
  </si>
  <si>
    <t xml:space="preserve">6</t>
  </si>
  <si>
    <t xml:space="preserve">29 Sep 2029 – 28 Sep 2030</t>
  </si>
  <si>
    <t xml:space="preserve">Rent reviewed — placeholder = passing rent</t>
  </si>
  <si>
    <t xml:space="preserve">7</t>
  </si>
  <si>
    <t xml:space="preserve">29 Sep 2030 – 28 Sep 2031</t>
  </si>
  <si>
    <t xml:space="preserve">Break date 29 Sep 2031 (6 months' notice)</t>
  </si>
  <si>
    <t xml:space="preserve">Headline £32.50/sq ft × 18,846 sq ft ≈ £612,500 p.a.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</si>
</sst>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;\(#,##0.00\);\-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8"/>
    <col collapsed="false" customWidth="true" hidden="false" outlineLevel="0" max="3" min="3" style="0" width="4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5</v>
      </c>
    </row>
    <row r="6" customFormat="false" ht="15" hidden="false" customHeight="false" outlineLevel="0" collapsed="false">
      <c r="A6" s="4" t="s">
        <v>6</v>
      </c>
      <c r="B6" s="5" t="n">
        <v>183750</v>
      </c>
      <c r="C6" s="4" t="s">
        <v>7</v>
      </c>
    </row>
    <row r="7" customFormat="false" ht="15" hidden="false" customHeight="false" outlineLevel="0" collapsed="false">
      <c r="A7" s="4" t="s">
        <v>8</v>
      </c>
      <c r="B7" s="6" t="n">
        <f aca="false">B6*0.2</f>
        <v>36750</v>
      </c>
      <c r="C7" s="4" t="s">
        <v>9</v>
      </c>
    </row>
    <row r="8" customFormat="false" ht="15" hidden="false" customHeight="false" outlineLevel="0" collapsed="false">
      <c r="A8" s="4" t="s">
        <v>10</v>
      </c>
      <c r="B8" s="5" t="n">
        <v>4218.75</v>
      </c>
      <c r="C8" s="4" t="s">
        <v>11</v>
      </c>
    </row>
    <row r="9" customFormat="false" ht="15" hidden="false" customHeight="false" outlineLevel="0" collapsed="false">
      <c r="A9" s="4" t="s">
        <v>12</v>
      </c>
      <c r="B9" s="5" t="n">
        <v>6862.5</v>
      </c>
      <c r="C9" s="4" t="s">
        <v>13</v>
      </c>
    </row>
    <row r="10" customFormat="false" ht="15" hidden="false" customHeight="false" outlineLevel="0" collapsed="false">
      <c r="A10" s="4" t="s">
        <v>14</v>
      </c>
      <c r="B10" s="5" t="n">
        <v>0</v>
      </c>
      <c r="C10" s="4" t="s">
        <v>15</v>
      </c>
    </row>
    <row r="11" customFormat="false" ht="15" hidden="false" customHeight="false" outlineLevel="0" collapsed="false">
      <c r="A11" s="7" t="s">
        <v>16</v>
      </c>
      <c r="B11" s="8" t="n">
        <f aca="false">SUM(B6:B10)</f>
        <v>231581.25</v>
      </c>
    </row>
    <row r="13" customFormat="false" ht="15" hidden="false" customHeight="false" outlineLevel="0" collapsed="false">
      <c r="A13" s="2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1" t="s">
        <v>18</v>
      </c>
    </row>
    <row r="3" customFormat="false" ht="15" hidden="false" customHeight="false" outlineLevel="0" collapsed="false">
      <c r="A3" s="3" t="s">
        <v>19</v>
      </c>
      <c r="B3" s="3" t="s">
        <v>20</v>
      </c>
      <c r="C3" s="3" t="s">
        <v>21</v>
      </c>
      <c r="D3" s="3" t="s">
        <v>22</v>
      </c>
      <c r="E3" s="3" t="s">
        <v>23</v>
      </c>
    </row>
    <row r="4" customFormat="false" ht="15" hidden="false" customHeight="false" outlineLevel="0" collapsed="false">
      <c r="A4" s="9" t="s">
        <v>24</v>
      </c>
      <c r="B4" s="9" t="s">
        <v>25</v>
      </c>
      <c r="C4" s="5" t="n">
        <v>612500</v>
      </c>
      <c r="D4" s="10" t="n">
        <f aca="false">C4/4</f>
        <v>153125</v>
      </c>
      <c r="E4" s="9" t="s">
        <v>26</v>
      </c>
    </row>
    <row r="5" customFormat="false" ht="15" hidden="false" customHeight="false" outlineLevel="0" collapsed="false">
      <c r="A5" s="9" t="s">
        <v>27</v>
      </c>
      <c r="B5" s="9" t="s">
        <v>28</v>
      </c>
      <c r="C5" s="5" t="n">
        <v>612500</v>
      </c>
      <c r="D5" s="10" t="n">
        <f aca="false">C5/4</f>
        <v>153125</v>
      </c>
      <c r="E5" s="9" t="s">
        <v>29</v>
      </c>
    </row>
    <row r="6" customFormat="false" ht="15" hidden="false" customHeight="false" outlineLevel="0" collapsed="false">
      <c r="A6" s="9" t="s">
        <v>30</v>
      </c>
      <c r="B6" s="9" t="s">
        <v>31</v>
      </c>
      <c r="C6" s="5" t="n">
        <v>612500</v>
      </c>
      <c r="D6" s="10" t="n">
        <f aca="false">C6/4</f>
        <v>153125</v>
      </c>
      <c r="E6" s="9" t="s">
        <v>32</v>
      </c>
    </row>
    <row r="7" customFormat="false" ht="15" hidden="false" customHeight="false" outlineLevel="0" collapsed="false">
      <c r="A7" s="9" t="s">
        <v>33</v>
      </c>
      <c r="B7" s="9" t="s">
        <v>34</v>
      </c>
      <c r="C7" s="5" t="n">
        <v>612500</v>
      </c>
      <c r="D7" s="10" t="n">
        <f aca="false">C7/4</f>
        <v>153125</v>
      </c>
      <c r="E7" s="9"/>
    </row>
    <row r="8" customFormat="false" ht="15" hidden="false" customHeight="false" outlineLevel="0" collapsed="false">
      <c r="A8" s="9" t="s">
        <v>35</v>
      </c>
      <c r="B8" s="9" t="s">
        <v>36</v>
      </c>
      <c r="C8" s="5" t="n">
        <v>612500</v>
      </c>
      <c r="D8" s="10" t="n">
        <f aca="false">C8/4</f>
        <v>153125</v>
      </c>
      <c r="E8" s="9" t="s">
        <v>37</v>
      </c>
    </row>
    <row r="9" customFormat="false" ht="15" hidden="false" customHeight="false" outlineLevel="0" collapsed="false">
      <c r="A9" s="9" t="s">
        <v>38</v>
      </c>
      <c r="B9" s="9" t="s">
        <v>39</v>
      </c>
      <c r="C9" s="10" t="n">
        <f aca="false">C8</f>
        <v>612500</v>
      </c>
      <c r="D9" s="10" t="n">
        <f aca="false">C9/4</f>
        <v>153125</v>
      </c>
      <c r="E9" s="9" t="s">
        <v>40</v>
      </c>
    </row>
    <row r="10" customFormat="false" ht="15" hidden="false" customHeight="false" outlineLevel="0" collapsed="false">
      <c r="A10" s="9" t="s">
        <v>41</v>
      </c>
      <c r="B10" s="9" t="s">
        <v>42</v>
      </c>
      <c r="C10" s="10" t="n">
        <f aca="false">C9</f>
        <v>612500</v>
      </c>
      <c r="D10" s="10" t="n">
        <f aca="false">C10/4</f>
        <v>153125</v>
      </c>
      <c r="E10" s="9" t="s">
        <v>43</v>
      </c>
    </row>
    <row r="12" customFormat="false" ht="15" hidden="false" customHeight="false" outlineLevel="0" collapsed="false">
      <c r="A12" s="2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2026-06-30T11:19:06Z</dcterms:created>
  <dc:creator>openpyxl</dc:creator>
  <dc:description/>
  <dc:language>en-US</dc:language>
  <cp:lastModifiedBy/>
  <dcterms:modified xsi:type="dcterms:W3CDTF">2026-06-30T11:19:06Z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