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c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<sst xmlns="http://schemas.openxmlformats.org/spreadsheetml/2006/main" count="44" uniqueCount="42">
  <si>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Project Sable — Tenancy Schedule &amp; Rent Analysis (as at 1 November 2025)</t>
  </si>
  <si>
    <t xml:space="preserve">Unit / Demise</t>
  </si>
  <si>
    <t xml:space="preserve">Tenant</t>
  </si>
  <si>
    <t xml:space="preserve">Lease start</t>
  </si>
  <si>
    <t xml:space="preserve">Expiry</t>
  </si>
  <si>
    <t xml:space="preserve">Term (yrs)</t>
  </si>
  <si>
    <t xml:space="preserve">Area (sq ft)</t>
  </si>
  <si>
    <t xml:space="preserve">Passing rent (£ pa)</t>
  </si>
  <si>
    <t xml:space="preserve">Rent (£/sq ft)</t>
  </si>
  <si>
    <t xml:space="preserve">Next review</t>
  </si>
  <si>
    <t xml:space="preserve">Break</t>
  </si>
  <si>
    <t xml:space="preserve">WAULT (yrs)</t>
  </si>
  <si>
    <t xml:space="preserve">Floors 4–6</t>
  </si>
  <si>
    <t xml:space="preserve">Castellan Wealth Management LLP</t>
  </si>
  <si>
    <t xml:space="preserve">2019-03-25</t>
  </si>
  <si>
    <t xml:space="preserve">2034-03-24</t>
  </si>
  <si>
    <t xml:space="preserve">2029-03-25</t>
  </si>
  <si>
    <t xml:space="preserve">None</t>
  </si>
  <si>
    <t xml:space="preserve">Floors 2–3</t>
  </si>
  <si>
    <t xml:space="preserve">Northbridge Software Ltd</t>
  </si>
  <si>
    <t xml:space="preserve">2021-09-29</t>
  </si>
  <si>
    <t xml:space="preserve">2031-09-28</t>
  </si>
  <si>
    <t xml:space="preserve">2026-09-29</t>
  </si>
  <si>
    <t xml:space="preserve">Tenant 29.09.2026 (12m notice)</t>
  </si>
  <si>
    <t xml:space="preserve">First floor</t>
  </si>
  <si>
    <t xml:space="preserve">Pennine Health Partners Ltd</t>
  </si>
  <si>
    <t xml:space="preserve">2022-06-24</t>
  </si>
  <si>
    <t xml:space="preserve">2032-06-23</t>
  </si>
  <si>
    <t xml:space="preserve">2027-06-24</t>
  </si>
  <si>
    <t xml:space="preserve">Ground (retail)</t>
  </si>
  <si>
    <t xml:space="preserve">Aurora Coffee Co. Ltd</t>
  </si>
  <si>
    <t xml:space="preserve">2020-12-25</t>
  </si>
  <si>
    <t xml:space="preserve">2030-12-24</t>
  </si>
  <si>
    <t xml:space="preserve">RPI annual</t>
  </si>
  <si>
    <t xml:space="preserve">TOTAL / weighted</t>
  </si>
  <si>
    <t xml:space="preserve">Valuation metrics</t>
  </si>
  <si>
    <t xml:space="preserve">Purchase price (£)</t>
  </si>
  <si>
    <t xml:space="preserve">Gross initial yield (passing rent ÷ price)</t>
  </si>
  <si>
    <t xml:space="preserve">Purchaser's costs (% of price)</t>
  </si>
  <si>
    <t xml:space="preserve">Net initial yield (rent ÷ (price × (1+costs)))</t>
  </si>
  <si>
    <t xml:space="preserve">Total contracted income to expiry (undiscounted, £)</t>
  </si>
  <si>
    <t xml:space="preserve">Capital value per sq ft (£)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</si>
</sst>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£#,##0;&quot;(£&quot;#,##0\)"/>
    <numFmt numFmtId="167" formatCode="\£#,##0.00"/>
    <numFmt numFmtId="168" formatCode="0.0"/>
    <numFmt numFmtId="169" formatCode="0.00%"/>
    <numFmt numFmtId="170" formatCode="\£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22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n">
        <v>15</v>
      </c>
      <c r="F4" s="4" t="n">
        <v>24800</v>
      </c>
      <c r="G4" s="5" t="n">
        <v>742000</v>
      </c>
      <c r="H4" s="6" t="n">
        <f aca="false">G4/F4</f>
        <v>29.9193548387097</v>
      </c>
      <c r="I4" s="3" t="s">
        <v>16</v>
      </c>
      <c r="J4" s="3" t="s">
        <v>17</v>
      </c>
      <c r="K4" s="7" t="n">
        <v>8.4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n">
        <v>10</v>
      </c>
      <c r="F5" s="4" t="n">
        <v>16200</v>
      </c>
      <c r="G5" s="5" t="n">
        <v>486000</v>
      </c>
      <c r="H5" s="6" t="n">
        <f aca="false">G5/F5</f>
        <v>30</v>
      </c>
      <c r="I5" s="3" t="s">
        <v>22</v>
      </c>
      <c r="J5" s="3" t="s">
        <v>23</v>
      </c>
      <c r="K5" s="7" t="n">
        <v>5.9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26</v>
      </c>
      <c r="D6" s="3" t="s">
        <v>27</v>
      </c>
      <c r="E6" s="3" t="n">
        <v>10</v>
      </c>
      <c r="F6" s="4" t="n">
        <v>9700</v>
      </c>
      <c r="G6" s="5" t="n">
        <v>318000</v>
      </c>
      <c r="H6" s="6" t="n">
        <f aca="false">G6/F6</f>
        <v>32.7835051546392</v>
      </c>
      <c r="I6" s="3" t="s">
        <v>28</v>
      </c>
      <c r="J6" s="3" t="s">
        <v>17</v>
      </c>
      <c r="K6" s="7" t="n">
        <v>6.6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32</v>
      </c>
      <c r="E7" s="3" t="n">
        <v>10</v>
      </c>
      <c r="F7" s="4" t="n">
        <v>4900</v>
      </c>
      <c r="G7" s="5" t="n">
        <v>137000</v>
      </c>
      <c r="H7" s="6" t="n">
        <f aca="false">G7/F7</f>
        <v>27.9591836734694</v>
      </c>
      <c r="I7" s="3" t="s">
        <v>33</v>
      </c>
      <c r="J7" s="3" t="s">
        <v>17</v>
      </c>
      <c r="K7" s="7" t="n">
        <v>5.1</v>
      </c>
    </row>
    <row r="8" customFormat="false" ht="15" hidden="false" customHeight="false" outlineLevel="0" collapsed="false">
      <c r="A8" s="8" t="s">
        <v>34</v>
      </c>
      <c r="B8" s="9"/>
      <c r="C8" s="9"/>
      <c r="D8" s="9"/>
      <c r="E8" s="9"/>
      <c r="F8" s="10" t="n">
        <f aca="false">SUM(F4:F7)</f>
        <v>55600</v>
      </c>
      <c r="G8" s="11" t="n">
        <f aca="false">SUM(G4:G7)</f>
        <v>1683000</v>
      </c>
      <c r="H8" s="12" t="n">
        <f aca="false">G8/F8</f>
        <v>30.2697841726619</v>
      </c>
      <c r="I8" s="9"/>
      <c r="J8" s="9"/>
      <c r="K8" s="13" t="n">
        <f aca="false">SUMPRODUCT(G4:G7,K4:K7)/G8</f>
        <v>7.06934046345811</v>
      </c>
    </row>
    <row r="11" customFormat="false" ht="15" hidden="false" customHeight="false" outlineLevel="0" collapsed="false">
      <c r="A11" s="14" t="s">
        <v>35</v>
      </c>
    </row>
    <row r="12" customFormat="false" ht="15" hidden="false" customHeight="false" outlineLevel="0" collapsed="false">
      <c r="A12" s="15" t="s">
        <v>36</v>
      </c>
      <c r="B12" s="16" t="n">
        <v>24750000</v>
      </c>
    </row>
    <row r="13" customFormat="false" ht="15" hidden="false" customHeight="false" outlineLevel="0" collapsed="false">
      <c r="A13" s="15" t="s">
        <v>37</v>
      </c>
      <c r="B13" s="17" t="n">
        <f aca="false">G8/B12</f>
        <v>0.068</v>
      </c>
    </row>
    <row r="14" customFormat="false" ht="15" hidden="false" customHeight="false" outlineLevel="0" collapsed="false">
      <c r="A14" s="15" t="s">
        <v>38</v>
      </c>
      <c r="B14" s="18" t="n">
        <v>0.068</v>
      </c>
    </row>
    <row r="15" customFormat="false" ht="15" hidden="false" customHeight="false" outlineLevel="0" collapsed="false">
      <c r="A15" s="15" t="s">
        <v>39</v>
      </c>
      <c r="B15" s="17" t="n">
        <f aca="false">G8/(B12*(1+B14))</f>
        <v>0.0636704119850187</v>
      </c>
    </row>
    <row r="16" customFormat="false" ht="15" hidden="false" customHeight="false" outlineLevel="0" collapsed="false">
      <c r="A16" s="15" t="s">
        <v>40</v>
      </c>
      <c r="B16" s="19" t="n">
        <f aca="false">SUMPRODUCT(G4:G7,K4:K7)</f>
        <v>11897700</v>
      </c>
    </row>
    <row r="17" customFormat="false" ht="15" hidden="false" customHeight="false" outlineLevel="0" collapsed="false">
      <c r="A17" s="15" t="s">
        <v>41</v>
      </c>
      <c r="B17" s="20" t="n">
        <f aca="false">B12/F8</f>
        <v>445.143884892086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2026-06-25T14:41:05Z</dcterms:created>
  <dc:creator>openpyxl</dc:creator>
  <dc:description/>
  <dc:language>en-US</dc:language>
  <cp:lastModifiedBy/>
  <dcterms:modified xsi:type="dcterms:W3CDTF">2026-06-25T14:41:05Z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