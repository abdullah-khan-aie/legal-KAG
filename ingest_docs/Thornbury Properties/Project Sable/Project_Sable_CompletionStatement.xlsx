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ion State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<sst xmlns="http://schemas.openxmlformats.org/spreadsheetml/2006/main" count="39" uniqueCount="39">
  <si>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WHITFIELD CARTER LLP</t>
  </si>
  <si>
    <t xml:space="preserve">Project Sable — Completion Statement</t>
  </si>
  <si>
    <t xml:space="preserve">Sable House, 40 Deansgate, Manchester M3 2AY (Title GM921044)</t>
  </si>
  <si>
    <t xml:space="preserve">Buyer: Thornbury Properties Limited  |  Seller: Ardent Property Holdings Limited</t>
  </si>
  <si>
    <t xml:space="preserve">Completion date: 21 November 2025  |  Matter ref: WC-00118</t>
  </si>
  <si>
    <t xml:space="preserve">Assumptions / inputs</t>
  </si>
  <si>
    <t xml:space="preserve">Purchase price (exclusive of VAT)</t>
  </si>
  <si>
    <t xml:space="preserve">Deposit paid on exchange (10%)</t>
  </si>
  <si>
    <t xml:space="preserve">Completion date</t>
  </si>
  <si>
    <t xml:space="preserve">21-Nov-2025</t>
  </si>
  <si>
    <t xml:space="preserve">Annual passing rent (per tenancy schedule)</t>
  </si>
  <si>
    <t xml:space="preserve">Days in quarter (29 Sep – 24 Dec 2025)</t>
  </si>
  <si>
    <t xml:space="preserve">Days buyer entitled (incl. completion to 24 Dec)</t>
  </si>
  <si>
    <t xml:space="preserve">Completion monies</t>
  </si>
  <si>
    <t xml:space="preserve">Due to Seller</t>
  </si>
  <si>
    <t xml:space="preserve">Due to Buyer</t>
  </si>
  <si>
    <t xml:space="preserve">Purchase price</t>
  </si>
  <si>
    <t xml:space="preserve">Less: deposit paid on exchange</t>
  </si>
  <si>
    <t xml:space="preserve">Apportionment of rent received in advance (Sep quarter) — credit to Buyer</t>
  </si>
  <si>
    <t xml:space="preserve">Apportionment of service charge on account — credit to Buyer</t>
  </si>
  <si>
    <t xml:space="preserve">Tenant rent deposit (Northbridge) transferred to Buyer</t>
  </si>
  <si>
    <t xml:space="preserve">Buyer's contribution to managing agent's pre-paid fees</t>
  </si>
  <si>
    <t xml:space="preserve">Sub-totals</t>
  </si>
  <si>
    <t xml:space="preserve">BALANCE DUE TO SELLER ON COMPLETION</t>
  </si>
  <si>
    <t xml:space="preserve">SDLT computation (non-residential freehold)</t>
  </si>
  <si>
    <t xml:space="preserve">Band: £0 – £150,000</t>
  </si>
  <si>
    <t xml:space="preserve">Band: £150,001 – £250,000</t>
  </si>
  <si>
    <t xml:space="preserve">Band: above £250,000</t>
  </si>
  <si>
    <t xml:space="preserve">Total SDLT payable (within 14 days of completion)</t>
  </si>
  <si>
    <t xml:space="preserve">Purchaser's costs summary</t>
  </si>
  <si>
    <t xml:space="preserve">SDLT (as above)</t>
  </si>
  <si>
    <t xml:space="preserve">Legal fees (estimate, ex VAT)</t>
  </si>
  <si>
    <t xml:space="preserve">Agent's acquisition fee (1.0% of price)</t>
  </si>
  <si>
    <t xml:space="preserve">Survey &amp; due diligence</t>
  </si>
  <si>
    <t xml:space="preserve">HM Land Registry fee</t>
  </si>
  <si>
    <t xml:space="preserve">Search fees</t>
  </si>
  <si>
    <t xml:space="preserve">Total purchaser's costs</t>
  </si>
  <si>
    <t xml:space="preserve">Total outlay (price + costs)</t>
  </si>
  <si>
    <t xml:space="preserve">Net initial yield (rent ÷ total outlay)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</si>
</sst>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;&quot;(£&quot;#,##0\)"/>
    <numFmt numFmtId="166" formatCode="\£#,##0.00;&quot;(£&quot;#,##0.00\)"/>
    <numFmt numFmtId="167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D9E2F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4" min="3" style="0" width="18"/>
    <col collapsed="false" customWidth="true" hidden="false" outlineLevel="0" max="5" min="5" style="0" width="3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8" customFormat="false" ht="15" hidden="false" customHeight="false" outlineLevel="0" collapsed="false">
      <c r="B8" s="5" t="s">
        <v>5</v>
      </c>
      <c r="C8" s="6"/>
      <c r="D8" s="6"/>
    </row>
    <row r="9" customFormat="false" ht="15" hidden="false" customHeight="false" outlineLevel="0" collapsed="false">
      <c r="B9" s="0" t="s">
        <v>6</v>
      </c>
      <c r="C9" s="7" t="n">
        <v>24750000</v>
      </c>
    </row>
    <row r="10" customFormat="false" ht="15" hidden="false" customHeight="false" outlineLevel="0" collapsed="false">
      <c r="B10" s="0" t="s">
        <v>7</v>
      </c>
      <c r="C10" s="7" t="n">
        <v>2475000</v>
      </c>
    </row>
    <row r="11" customFormat="false" ht="15" hidden="false" customHeight="false" outlineLevel="0" collapsed="false">
      <c r="B11" s="0" t="s">
        <v>8</v>
      </c>
      <c r="C11" s="8" t="s">
        <v>9</v>
      </c>
    </row>
    <row r="12" customFormat="false" ht="15" hidden="false" customHeight="false" outlineLevel="0" collapsed="false">
      <c r="B12" s="0" t="s">
        <v>10</v>
      </c>
      <c r="C12" s="7" t="n">
        <v>1683000</v>
      </c>
    </row>
    <row r="13" customFormat="false" ht="15" hidden="false" customHeight="false" outlineLevel="0" collapsed="false">
      <c r="B13" s="0" t="s">
        <v>11</v>
      </c>
      <c r="C13" s="8" t="n">
        <v>86</v>
      </c>
    </row>
    <row r="14" customFormat="false" ht="15" hidden="false" customHeight="false" outlineLevel="0" collapsed="false">
      <c r="B14" s="0" t="s">
        <v>12</v>
      </c>
      <c r="C14" s="8" t="n">
        <v>34</v>
      </c>
    </row>
    <row r="16" customFormat="false" ht="15" hidden="false" customHeight="false" outlineLevel="0" collapsed="false">
      <c r="B16" s="9" t="s">
        <v>13</v>
      </c>
      <c r="C16" s="10" t="s">
        <v>14</v>
      </c>
      <c r="D16" s="10" t="s">
        <v>15</v>
      </c>
    </row>
    <row r="17" customFormat="false" ht="15" hidden="false" customHeight="false" outlineLevel="0" collapsed="false">
      <c r="B17" s="0" t="s">
        <v>16</v>
      </c>
      <c r="C17" s="11" t="n">
        <f aca="false">C9</f>
        <v>24750000</v>
      </c>
    </row>
    <row r="18" customFormat="false" ht="15" hidden="false" customHeight="false" outlineLevel="0" collapsed="false">
      <c r="B18" s="0" t="s">
        <v>17</v>
      </c>
      <c r="D18" s="11" t="n">
        <f aca="false">C10</f>
        <v>2475000</v>
      </c>
    </row>
    <row r="19" customFormat="false" ht="15" hidden="false" customHeight="false" outlineLevel="0" collapsed="false">
      <c r="B19" s="0" t="s">
        <v>18</v>
      </c>
      <c r="D19" s="11" t="n">
        <f aca="false">ROUND(C12/4*C14/C13,2)</f>
        <v>166343.02</v>
      </c>
    </row>
    <row r="20" customFormat="false" ht="15" hidden="false" customHeight="false" outlineLevel="0" collapsed="false">
      <c r="B20" s="0" t="s">
        <v>19</v>
      </c>
      <c r="D20" s="12" t="n">
        <v>9420</v>
      </c>
    </row>
    <row r="21" customFormat="false" ht="15" hidden="false" customHeight="false" outlineLevel="0" collapsed="false">
      <c r="B21" s="0" t="s">
        <v>20</v>
      </c>
      <c r="D21" s="12" t="n">
        <v>121500</v>
      </c>
    </row>
    <row r="22" customFormat="false" ht="15" hidden="false" customHeight="false" outlineLevel="0" collapsed="false">
      <c r="B22" s="0" t="s">
        <v>21</v>
      </c>
      <c r="C22" s="11" t="n">
        <f aca="false">ROUND(3600*C14/C13,2)</f>
        <v>1423.26</v>
      </c>
    </row>
    <row r="23" customFormat="false" ht="15" hidden="false" customHeight="false" outlineLevel="0" collapsed="false">
      <c r="B23" s="13" t="s">
        <v>22</v>
      </c>
      <c r="C23" s="14" t="n">
        <f aca="false">SUM(C17:C22)</f>
        <v>24751423.26</v>
      </c>
      <c r="D23" s="14" t="n">
        <f aca="false">SUM(D17:D22)</f>
        <v>2772263.02</v>
      </c>
    </row>
    <row r="25" customFormat="false" ht="15" hidden="false" customHeight="false" outlineLevel="0" collapsed="false">
      <c r="B25" s="15" t="s">
        <v>23</v>
      </c>
      <c r="C25" s="16" t="n">
        <f aca="false">C23-D23</f>
        <v>21979160.24</v>
      </c>
      <c r="D25" s="17"/>
    </row>
    <row r="28" customFormat="false" ht="15" hidden="false" customHeight="false" outlineLevel="0" collapsed="false">
      <c r="B28" s="9" t="s">
        <v>24</v>
      </c>
      <c r="C28" s="18"/>
      <c r="D28" s="18"/>
    </row>
    <row r="29" customFormat="false" ht="15" hidden="false" customHeight="false" outlineLevel="0" collapsed="false">
      <c r="B29" s="0" t="s">
        <v>25</v>
      </c>
      <c r="C29" s="19" t="n">
        <v>0</v>
      </c>
      <c r="D29" s="11" t="n">
        <f aca="false">ROUND((150000-0)*C29,2)</f>
        <v>0</v>
      </c>
    </row>
    <row r="30" customFormat="false" ht="15" hidden="false" customHeight="false" outlineLevel="0" collapsed="false">
      <c r="B30" s="0" t="s">
        <v>26</v>
      </c>
      <c r="C30" s="19" t="n">
        <v>0.02</v>
      </c>
      <c r="D30" s="11" t="n">
        <f aca="false">ROUND((250000-150000)*C30,2)</f>
        <v>2000</v>
      </c>
    </row>
    <row r="31" customFormat="false" ht="15" hidden="false" customHeight="false" outlineLevel="0" collapsed="false">
      <c r="B31" s="0" t="s">
        <v>27</v>
      </c>
      <c r="C31" s="19" t="n">
        <v>0.05</v>
      </c>
      <c r="D31" s="11" t="n">
        <f aca="false">ROUND((C9-250000)*C31,2)</f>
        <v>1225000</v>
      </c>
    </row>
    <row r="32" customFormat="false" ht="15" hidden="false" customHeight="false" outlineLevel="0" collapsed="false">
      <c r="B32" s="13" t="s">
        <v>28</v>
      </c>
      <c r="D32" s="20" t="n">
        <f aca="false">SUM(D29:D31)</f>
        <v>1227000</v>
      </c>
    </row>
    <row r="35" customFormat="false" ht="15" hidden="false" customHeight="false" outlineLevel="0" collapsed="false">
      <c r="B35" s="9" t="s">
        <v>29</v>
      </c>
      <c r="C35" s="18"/>
    </row>
    <row r="36" customFormat="false" ht="15" hidden="false" customHeight="false" outlineLevel="0" collapsed="false">
      <c r="B36" s="0" t="s">
        <v>30</v>
      </c>
      <c r="C36" s="21" t="n">
        <f aca="false">ROUND(0.02*100000+0.05*(C9-250000),2)</f>
        <v>1227000</v>
      </c>
    </row>
    <row r="37" customFormat="false" ht="15" hidden="false" customHeight="false" outlineLevel="0" collapsed="false">
      <c r="B37" s="0" t="s">
        <v>31</v>
      </c>
      <c r="C37" s="22" t="n">
        <v>63000</v>
      </c>
    </row>
    <row r="38" customFormat="false" ht="15" hidden="false" customHeight="false" outlineLevel="0" collapsed="false">
      <c r="B38" s="0" t="s">
        <v>32</v>
      </c>
      <c r="C38" s="21" t="n">
        <f aca="false">ROUND(C9*0.01,2)</f>
        <v>247500</v>
      </c>
    </row>
    <row r="39" customFormat="false" ht="15" hidden="false" customHeight="false" outlineLevel="0" collapsed="false">
      <c r="B39" s="0" t="s">
        <v>33</v>
      </c>
      <c r="C39" s="22" t="n">
        <v>14500</v>
      </c>
    </row>
    <row r="40" customFormat="false" ht="15" hidden="false" customHeight="false" outlineLevel="0" collapsed="false">
      <c r="B40" s="0" t="s">
        <v>34</v>
      </c>
      <c r="C40" s="22" t="n">
        <v>1105</v>
      </c>
    </row>
    <row r="41" customFormat="false" ht="15" hidden="false" customHeight="false" outlineLevel="0" collapsed="false">
      <c r="B41" s="0" t="s">
        <v>35</v>
      </c>
      <c r="C41" s="22" t="n">
        <v>685</v>
      </c>
    </row>
    <row r="42" customFormat="false" ht="15" hidden="false" customHeight="false" outlineLevel="0" collapsed="false">
      <c r="B42" s="13" t="s">
        <v>36</v>
      </c>
      <c r="C42" s="14" t="n">
        <f aca="false">SUM(C36:C41)</f>
        <v>1553790</v>
      </c>
    </row>
    <row r="43" customFormat="false" ht="15" hidden="false" customHeight="false" outlineLevel="0" collapsed="false">
      <c r="B43" s="13" t="s">
        <v>37</v>
      </c>
      <c r="C43" s="20" t="n">
        <f aca="false">C9+C42</f>
        <v>26303790</v>
      </c>
    </row>
    <row r="44" customFormat="false" ht="15" hidden="false" customHeight="false" outlineLevel="0" collapsed="false">
      <c r="B44" s="13" t="s">
        <v>38</v>
      </c>
      <c r="C44" s="23" t="n">
        <f aca="false">C12/(C9+C42)</f>
        <v>0.0639831750481585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2026-06-25T14:41:05Z</dcterms:created>
  <dc:creator>openpyxl</dc:creator>
  <dc:description/>
  <dc:language>en-US</dc:language>
  <cp:lastModifiedBy/>
  <dcterms:modified xsi:type="dcterms:W3CDTF">2026-06-25T14:41:05Z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