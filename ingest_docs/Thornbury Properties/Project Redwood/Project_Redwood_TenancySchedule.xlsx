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anc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333333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b val="1"/>
      <color rgb="001F3864"/>
      <sz val="11"/>
    </font>
    <font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4" fillId="4" borderId="1" pivotButton="0" quotePrefix="0" xfId="0"/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5" fillId="0" borderId="0" pivotButton="0" quotePrefix="0" xfId="0"/>
    <xf numFmtId="3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1" customWidth="1" min="4" max="4"/>
    <col width="12" customWidth="1" min="5" max="5"/>
    <col width="12" customWidth="1" min="6" max="6"/>
    <col width="8" customWidth="1" min="7" max="7"/>
    <col width="10" customWidth="1" min="8" max="8"/>
    <col width="13" customWidth="1" min="9" max="9"/>
    <col width="12" customWidth="1" min="10" max="10"/>
    <col width="15" customWidth="1" min="11" max="11"/>
    <col width="11" customWidth="1" min="12" max="12"/>
    <col width="13" customWidth="1" min="13" max="13"/>
    <col width="18" customWidth="1" min="14" max="14"/>
  </cols>
  <sheetData>
    <row r="1">
      <c r="A1" s="1" t="inlineStr">
        <is>
          <t>Project Redwood — Kingsgate House, 14–18 Farringdon Road, London EC1M 3HE</t>
        </is>
      </c>
    </row>
    <row r="2">
      <c r="A2" s="2" t="inlineStr">
        <is>
          <t>Tenancy Schedule (rent roll) — as at 1 March 2026   ·   Prepared by Whitfield Carter LLP for Thornbury Properties Limited   ·   Ref WC-00108</t>
        </is>
      </c>
    </row>
    <row r="4">
      <c r="A4" s="3" t="inlineStr">
        <is>
          <t>Unit / Floor</t>
        </is>
      </c>
      <c r="B4" s="3" t="inlineStr">
        <is>
          <t>Tenant</t>
        </is>
      </c>
      <c r="C4" s="3" t="inlineStr">
        <is>
          <t>Use</t>
        </is>
      </c>
      <c r="D4" s="3" t="inlineStr">
        <is>
          <t>Area (sq ft)</t>
        </is>
      </c>
      <c r="E4" s="3" t="inlineStr">
        <is>
          <t>Lease start</t>
        </is>
      </c>
      <c r="F4" s="3" t="inlineStr">
        <is>
          <t>Lease expiry</t>
        </is>
      </c>
      <c r="G4" s="3" t="inlineStr">
        <is>
          <t>Term (yrs)</t>
        </is>
      </c>
      <c r="H4" s="3" t="inlineStr">
        <is>
          <t>Unexpired (yrs)</t>
        </is>
      </c>
      <c r="I4" s="3" t="inlineStr">
        <is>
          <t>Next rent review</t>
        </is>
      </c>
      <c r="J4" s="3" t="inlineStr">
        <is>
          <t>Break option</t>
        </is>
      </c>
      <c r="K4" s="3" t="inlineStr">
        <is>
          <t>Passing rent (£ p.a.)</t>
        </is>
      </c>
      <c r="L4" s="3" t="inlineStr">
        <is>
          <t>Rent £/sq ft</t>
        </is>
      </c>
      <c r="M4" s="3" t="inlineStr">
        <is>
          <t>Rent deposit (£)</t>
        </is>
      </c>
      <c r="N4" s="3" t="inlineStr">
        <is>
          <t>Repairing terms</t>
        </is>
      </c>
    </row>
    <row r="5">
      <c r="A5" s="4" t="inlineStr">
        <is>
          <t>Ground floor</t>
        </is>
      </c>
      <c r="B5" s="5" t="inlineStr">
        <is>
          <t>Café Bertrand Ltd</t>
        </is>
      </c>
      <c r="C5" s="5" t="inlineStr">
        <is>
          <t>Retail / A3</t>
        </is>
      </c>
      <c r="D5" s="6" t="n">
        <v>2000</v>
      </c>
      <c r="E5" s="7" t="inlineStr">
        <is>
          <t>2019-03-25</t>
        </is>
      </c>
      <c r="F5" s="7" t="inlineStr">
        <is>
          <t>2029-03-24</t>
        </is>
      </c>
      <c r="G5" s="8" t="n">
        <v>10</v>
      </c>
      <c r="H5" s="9">
        <f>(DATEVALUE(F5)-DATE(2026,5,15))/365.25</f>
        <v/>
      </c>
      <c r="I5" s="7" t="inlineStr">
        <is>
          <t>2024-03-25</t>
        </is>
      </c>
      <c r="J5" s="7" t="inlineStr">
        <is>
          <t>None</t>
        </is>
      </c>
      <c r="K5" s="6" t="n">
        <v>95000</v>
      </c>
      <c r="L5" s="10">
        <f>K5/D5</f>
        <v/>
      </c>
      <c r="M5" s="6" t="n">
        <v>23750</v>
      </c>
      <c r="N5" s="5" t="inlineStr">
        <is>
          <t>FRI (service charge)</t>
        </is>
      </c>
    </row>
    <row r="6">
      <c r="A6" s="11" t="inlineStr">
        <is>
          <t>1st floor</t>
        </is>
      </c>
      <c r="B6" s="12" t="inlineStr">
        <is>
          <t>Halden Consulting LLP</t>
        </is>
      </c>
      <c r="C6" s="12" t="inlineStr">
        <is>
          <t>Office</t>
        </is>
      </c>
      <c r="D6" s="13" t="n">
        <v>4400</v>
      </c>
      <c r="E6" s="14" t="inlineStr">
        <is>
          <t>2021-06-24</t>
        </is>
      </c>
      <c r="F6" s="14" t="inlineStr">
        <is>
          <t>2031-06-23</t>
        </is>
      </c>
      <c r="G6" s="15" t="n">
        <v>10</v>
      </c>
      <c r="H6" s="16">
        <f>(DATEVALUE(F6)-DATE(2026,5,15))/365.25</f>
        <v/>
      </c>
      <c r="I6" s="14" t="inlineStr">
        <is>
          <t>2026-06-24</t>
        </is>
      </c>
      <c r="J6" s="14" t="inlineStr">
        <is>
          <t>2028-06-24</t>
        </is>
      </c>
      <c r="K6" s="13" t="n">
        <v>242000</v>
      </c>
      <c r="L6" s="17">
        <f>K6/D6</f>
        <v/>
      </c>
      <c r="M6" s="13" t="n">
        <v>0</v>
      </c>
      <c r="N6" s="12" t="inlineStr">
        <is>
          <t>FRI</t>
        </is>
      </c>
    </row>
    <row r="7">
      <c r="A7" s="4" t="inlineStr">
        <is>
          <t>2nd floor</t>
        </is>
      </c>
      <c r="B7" s="5" t="inlineStr">
        <is>
          <t>Northwind Media Ltd</t>
        </is>
      </c>
      <c r="C7" s="5" t="inlineStr">
        <is>
          <t>Office</t>
        </is>
      </c>
      <c r="D7" s="6" t="n">
        <v>4400</v>
      </c>
      <c r="E7" s="7" t="inlineStr">
        <is>
          <t>2020-09-29</t>
        </is>
      </c>
      <c r="F7" s="7" t="inlineStr">
        <is>
          <t>2030-09-28</t>
        </is>
      </c>
      <c r="G7" s="8" t="n">
        <v>10</v>
      </c>
      <c r="H7" s="9">
        <f>(DATEVALUE(F7)-DATE(2026,5,15))/365.25</f>
        <v/>
      </c>
      <c r="I7" s="7" t="inlineStr">
        <is>
          <t>2025-09-29</t>
        </is>
      </c>
      <c r="J7" s="7" t="inlineStr">
        <is>
          <t>None</t>
        </is>
      </c>
      <c r="K7" s="6" t="n">
        <v>246400</v>
      </c>
      <c r="L7" s="10">
        <f>K7/D7</f>
        <v/>
      </c>
      <c r="M7" s="6" t="n">
        <v>0</v>
      </c>
      <c r="N7" s="5" t="inlineStr">
        <is>
          <t>FRI</t>
        </is>
      </c>
    </row>
    <row r="8">
      <c r="A8" s="11" t="inlineStr">
        <is>
          <t>3rd floor</t>
        </is>
      </c>
      <c r="B8" s="12" t="inlineStr">
        <is>
          <t>Ardent Software Ltd</t>
        </is>
      </c>
      <c r="C8" s="12" t="inlineStr">
        <is>
          <t>Office</t>
        </is>
      </c>
      <c r="D8" s="13" t="n">
        <v>4400</v>
      </c>
      <c r="E8" s="14" t="inlineStr">
        <is>
          <t>2022-12-25</t>
        </is>
      </c>
      <c r="F8" s="14" t="inlineStr">
        <is>
          <t>2032-12-24</t>
        </is>
      </c>
      <c r="G8" s="15" t="n">
        <v>10</v>
      </c>
      <c r="H8" s="16">
        <f>(DATEVALUE(F8)-DATE(2026,5,15))/365.25</f>
        <v/>
      </c>
      <c r="I8" s="14" t="inlineStr">
        <is>
          <t>2027-12-25</t>
        </is>
      </c>
      <c r="J8" s="14" t="inlineStr">
        <is>
          <t>2029-12-25</t>
        </is>
      </c>
      <c r="K8" s="13" t="n">
        <v>255200</v>
      </c>
      <c r="L8" s="17">
        <f>K8/D8</f>
        <v/>
      </c>
      <c r="M8" s="13" t="n">
        <v>0</v>
      </c>
      <c r="N8" s="12" t="inlineStr">
        <is>
          <t>FRI</t>
        </is>
      </c>
    </row>
    <row r="9">
      <c r="A9" s="4" t="inlineStr">
        <is>
          <t>4th floor</t>
        </is>
      </c>
      <c r="B9" s="5" t="inlineStr">
        <is>
          <t>Pemberton Recruitment Ltd</t>
        </is>
      </c>
      <c r="C9" s="5" t="inlineStr">
        <is>
          <t>Office</t>
        </is>
      </c>
      <c r="D9" s="6" t="n">
        <v>4400</v>
      </c>
      <c r="E9" s="7" t="inlineStr">
        <is>
          <t>2023-03-25</t>
        </is>
      </c>
      <c r="F9" s="7" t="inlineStr">
        <is>
          <t>2033-03-24</t>
        </is>
      </c>
      <c r="G9" s="8" t="n">
        <v>10</v>
      </c>
      <c r="H9" s="9">
        <f>(DATEVALUE(F9)-DATE(2026,5,15))/365.25</f>
        <v/>
      </c>
      <c r="I9" s="7" t="inlineStr">
        <is>
          <t>2028-03-25</t>
        </is>
      </c>
      <c r="J9" s="7" t="inlineStr">
        <is>
          <t>None</t>
        </is>
      </c>
      <c r="K9" s="6" t="n">
        <v>255200</v>
      </c>
      <c r="L9" s="10">
        <f>K9/D9</f>
        <v/>
      </c>
      <c r="M9" s="6" t="n">
        <v>63800</v>
      </c>
      <c r="N9" s="5" t="inlineStr">
        <is>
          <t>FRI</t>
        </is>
      </c>
    </row>
    <row r="10">
      <c r="A10" s="11" t="inlineStr">
        <is>
          <t>5th floor</t>
        </is>
      </c>
      <c r="B10" s="12" t="inlineStr">
        <is>
          <t>Meridian Architects LLP</t>
        </is>
      </c>
      <c r="C10" s="12" t="inlineStr">
        <is>
          <t>Office</t>
        </is>
      </c>
      <c r="D10" s="13" t="n">
        <v>4400</v>
      </c>
      <c r="E10" s="14" t="inlineStr">
        <is>
          <t>2021-12-25</t>
        </is>
      </c>
      <c r="F10" s="14" t="inlineStr">
        <is>
          <t>2031-12-24</t>
        </is>
      </c>
      <c r="G10" s="15" t="n">
        <v>10</v>
      </c>
      <c r="H10" s="16">
        <f>(DATEVALUE(F10)-DATE(2026,5,15))/365.25</f>
        <v/>
      </c>
      <c r="I10" s="14" t="inlineStr">
        <is>
          <t>2026-12-25</t>
        </is>
      </c>
      <c r="J10" s="14" t="inlineStr">
        <is>
          <t>2029-12-25</t>
        </is>
      </c>
      <c r="K10" s="13" t="n">
        <v>268400</v>
      </c>
      <c r="L10" s="17">
        <f>K10/D10</f>
        <v/>
      </c>
      <c r="M10" s="13" t="n">
        <v>0</v>
      </c>
      <c r="N10" s="12" t="inlineStr">
        <is>
          <t>FRI</t>
        </is>
      </c>
    </row>
    <row r="11">
      <c r="A11" s="18" t="inlineStr">
        <is>
          <t>TOTAL / WEIGHTED</t>
        </is>
      </c>
      <c r="B11" s="18" t="n"/>
      <c r="C11" s="18" t="n"/>
      <c r="D11" s="19">
        <f>SUM(D5:D10)</f>
        <v/>
      </c>
      <c r="E11" s="18" t="n"/>
      <c r="F11" s="18" t="n"/>
      <c r="G11" s="18" t="n"/>
      <c r="H11" s="20">
        <f>SUMPRODUCT(K5:K10,H5:H10)/K11</f>
        <v/>
      </c>
      <c r="I11" s="18" t="n"/>
      <c r="J11" s="18" t="n"/>
      <c r="K11" s="19">
        <f>SUM(K5:K10)</f>
        <v/>
      </c>
      <c r="L11" s="21">
        <f>K11/D11</f>
        <v/>
      </c>
      <c r="M11" s="19">
        <f>SUM(M5:M10)</f>
        <v/>
      </c>
      <c r="N11" s="18" t="n"/>
    </row>
    <row r="14">
      <c r="A14" s="22" t="inlineStr">
        <is>
          <t>Investment summary</t>
        </is>
      </c>
    </row>
    <row r="15">
      <c r="A15" s="23" t="inlineStr">
        <is>
          <t>Purchase price (£)</t>
        </is>
      </c>
      <c r="B15" s="24" t="n">
        <v>18500000</v>
      </c>
    </row>
    <row r="16">
      <c r="A16" s="23" t="inlineStr">
        <is>
          <t>Total passing rent (£ p.a.)</t>
        </is>
      </c>
      <c r="B16" s="24">
        <f>K11</f>
        <v/>
      </c>
    </row>
    <row r="17">
      <c r="A17" s="23" t="inlineStr">
        <is>
          <t>Total net internal area (sq ft)</t>
        </is>
      </c>
      <c r="B17" s="24">
        <f>D11</f>
        <v/>
      </c>
    </row>
    <row r="18">
      <c r="A18" s="23" t="inlineStr">
        <is>
          <t>Average rent (£ / sq ft)</t>
        </is>
      </c>
      <c r="B18" s="25">
        <f>K11/D11</f>
        <v/>
      </c>
    </row>
    <row r="19">
      <c r="A19" s="23" t="inlineStr">
        <is>
          <t>Net initial yield — gross (passing rent / price)</t>
        </is>
      </c>
      <c r="B19" s="26">
        <f>K11/B15</f>
        <v/>
      </c>
    </row>
    <row r="20">
      <c r="A20" s="23" t="inlineStr">
        <is>
          <t>Purchaser's costs (SDLT £914,500 + fees, est.)</t>
        </is>
      </c>
      <c r="B20" s="24">
        <f>914500+34000</f>
        <v/>
      </c>
    </row>
    <row r="21">
      <c r="A21" s="23" t="inlineStr">
        <is>
          <t>Net initial yield — true (after costs)</t>
        </is>
      </c>
      <c r="B21" s="26">
        <f>K11/(B15+B20)</f>
        <v/>
      </c>
    </row>
    <row r="22">
      <c r="A22" s="23" t="inlineStr">
        <is>
          <t>Weighted average unexpired lease term — to expiry (yrs)</t>
        </is>
      </c>
      <c r="B22" s="27">
        <f>H11</f>
        <v/>
      </c>
    </row>
    <row r="23">
      <c r="A23" s="23" t="inlineStr">
        <is>
          <t>Total rent deposits held (£)</t>
        </is>
      </c>
      <c r="B23" s="24">
        <f>M11</f>
        <v/>
      </c>
    </row>
    <row r="24">
      <c r="A24" s="23" t="inlineStr">
        <is>
          <t>Reversionary potential (ERV vs passing) — indicative</t>
        </is>
      </c>
      <c r="B24" s="28" t="n">
        <v>0.04</v>
      </c>
    </row>
    <row r="26">
      <c r="A26" s="29" t="inlineStr">
        <is>
          <t>Notes:</t>
        </is>
      </c>
    </row>
    <row r="27">
      <c r="A27" s="30" t="inlineStr">
        <is>
          <t>1. Total passing rent ties to the contract recital and the board minutes (£1,362,200 p.a.).</t>
        </is>
      </c>
    </row>
    <row r="28">
      <c r="A28" s="30" t="inlineStr">
        <is>
          <t>2. All leases are on effectively full repairing and insuring terms; the landlord insures and recovers the premium and common-parts costs through the service charge / insurance rent.</t>
        </is>
      </c>
    </row>
    <row r="29">
      <c r="A29" s="30" t="inlineStr">
        <is>
          <t>3. Rent deposits of £23,750 (ground floor) and £63,800 (4th floor) are held under rent deposit deeds and will be assigned to the Buyer on completion.</t>
        </is>
      </c>
    </row>
    <row r="30">
      <c r="A30" s="30" t="inlineStr">
        <is>
          <t>4. Unexpired term and WAULT calculated to the target completion date of 15 May 2026. WAULT is weighted by passing rent.</t>
        </is>
      </c>
    </row>
    <row r="31">
      <c r="A31" s="30" t="inlineStr">
        <is>
          <t>5. Net initial yield (gross) on the purchase price of £18,500,000, before purchaser's costs, is approximately 7.4%.</t>
        </is>
      </c>
    </row>
  </sheetData>
  <mergeCells count="8">
    <mergeCell ref="A27:N27"/>
    <mergeCell ref="A31:N31"/>
    <mergeCell ref="A26:N26"/>
    <mergeCell ref="A30:N30"/>
    <mergeCell ref="A2:N2"/>
    <mergeCell ref="A29:N29"/>
    <mergeCell ref="A28:N28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2026-06-10T22:51:34Z</dcterms:created>
  <dcterms:modified xmlns:dcterms="http://purl.org/dc/terms/" xmlns:xsi="http://www.w3.org/2001/XMLSchema-instance" xsi:type="dcterms:W3CDTF">2026-06-10T22:51:34Z</dcterms:modified>
</cp:coreProperties>
</file>