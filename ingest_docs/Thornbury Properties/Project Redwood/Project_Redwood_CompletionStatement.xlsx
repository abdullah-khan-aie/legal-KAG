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ion Statemen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3864"/>
      <sz val="14"/>
    </font>
    <font>
      <b val="1"/>
      <color rgb="00333333"/>
      <sz val="10"/>
    </font>
    <font>
      <color rgb="00555555"/>
      <sz val="9"/>
    </font>
    <font>
      <b val="1"/>
      <color rgb="00FFFFFF"/>
      <sz val="10"/>
    </font>
    <font>
      <sz val="10"/>
    </font>
    <font>
      <b val="1"/>
      <sz val="10"/>
    </font>
    <font>
      <b val="1"/>
      <color rgb="001F3864"/>
      <sz val="11"/>
    </font>
    <font>
      <i val="1"/>
      <color rgb="00555555"/>
      <sz val="9"/>
    </font>
  </fonts>
  <fills count="5">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3" fontId="6" fillId="3" borderId="1" applyAlignment="1" pivotButton="0" quotePrefix="0" xfId="0">
      <alignment horizontal="right"/>
    </xf>
    <xf numFmtId="0" fontId="6" fillId="3" borderId="1" applyAlignment="1" pivotButton="0" quotePrefix="0" xfId="0">
      <alignment horizontal="center"/>
    </xf>
    <xf numFmtId="4" fontId="6" fillId="0" borderId="1" applyAlignment="1" pivotButton="0" quotePrefix="0" xfId="0">
      <alignment horizontal="right"/>
    </xf>
    <xf numFmtId="1" fontId="6" fillId="0" borderId="1" applyAlignment="1" pivotButton="0" quotePrefix="0" xfId="0">
      <alignment horizontal="right"/>
    </xf>
    <xf numFmtId="4" fontId="0" fillId="0" borderId="1" applyAlignment="1" pivotButton="0" quotePrefix="0" xfId="0">
      <alignment horizontal="right"/>
    </xf>
    <xf numFmtId="0" fontId="6" fillId="0" borderId="0" pivotButton="0" quotePrefix="0" xfId="0"/>
    <xf numFmtId="4" fontId="6" fillId="4" borderId="1" applyAlignment="1" pivotButton="0" quotePrefix="0" xfId="0">
      <alignment horizontal="right"/>
    </xf>
    <xf numFmtId="0" fontId="7" fillId="0" borderId="0" pivotButton="0" quotePrefix="0" xfId="0"/>
    <xf numFmtId="4" fontId="7" fillId="4" borderId="1" applyAlignment="1" pivotButton="0" quotePrefix="0" xfId="0">
      <alignment horizontal="right"/>
    </xf>
    <xf numFmtId="3" fontId="0" fillId="0" borderId="1" applyAlignment="1" pivotButton="0" quotePrefix="0" xfId="0">
      <alignment horizontal="right"/>
    </xf>
    <xf numFmtId="3" fontId="6" fillId="4" borderId="1" applyAlignment="1" pivotButton="0" quotePrefix="0" xfId="0">
      <alignment horizontal="right"/>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62" customWidth="1" min="1" max="1"/>
    <col width="20" customWidth="1" min="2" max="2"/>
    <col width="20" customWidth="1" min="3" max="3"/>
  </cols>
  <sheetData>
    <row r="1">
      <c r="A1" s="1" t="inlineStr">
        <is>
          <t>Whitfield Carter LLP — Completion Statement</t>
        </is>
      </c>
    </row>
    <row r="2">
      <c r="A2" s="2" t="inlineStr">
        <is>
          <t>Project Redwood — Acquisition of Kingsgate House, 14–18 Farringdon Road, London EC1M 3HE</t>
        </is>
      </c>
    </row>
    <row r="3">
      <c r="A3" s="3" t="inlineStr">
        <is>
          <t>Our ref: WC-00108   ·   Completion date: 15 May 2026   ·   Prepared for Thornbury Properties Limited (Buyer)</t>
        </is>
      </c>
    </row>
    <row r="5">
      <c r="A5" s="4" t="inlineStr">
        <is>
          <t>Key inputs</t>
        </is>
      </c>
      <c r="B5" s="4" t="inlineStr">
        <is>
          <t>Value</t>
        </is>
      </c>
      <c r="C5" s="4" t="inlineStr"/>
    </row>
    <row r="6">
      <c r="A6" s="5" t="inlineStr">
        <is>
          <t>Purchase price (£)</t>
        </is>
      </c>
      <c r="B6" s="6" t="n">
        <v>18500000</v>
      </c>
    </row>
    <row r="7">
      <c r="A7" s="5" t="inlineStr">
        <is>
          <t>Deposit paid on exchange (10%) (£)</t>
        </is>
      </c>
      <c r="B7" s="6" t="n">
        <v>1850000</v>
      </c>
    </row>
    <row r="8">
      <c r="A8" s="5" t="inlineStr">
        <is>
          <t>Total annual passing rent (£)</t>
        </is>
      </c>
      <c r="B8" s="6" t="n">
        <v>1362200</v>
      </c>
    </row>
    <row r="9">
      <c r="A9" s="5" t="inlineStr">
        <is>
          <t>Completion date</t>
        </is>
      </c>
      <c r="B9" s="7" t="inlineStr">
        <is>
          <t>2026-05-15</t>
        </is>
      </c>
    </row>
    <row r="10">
      <c r="A10" s="5" t="inlineStr">
        <is>
          <t>Current rent quarter day (rent paid from)</t>
        </is>
      </c>
      <c r="B10" s="7" t="inlineStr">
        <is>
          <t>2026-03-25</t>
        </is>
      </c>
    </row>
    <row r="11">
      <c r="A11" s="5" t="inlineStr">
        <is>
          <t>Next rent quarter day</t>
        </is>
      </c>
      <c r="B11" s="7" t="inlineStr">
        <is>
          <t>2026-06-24</t>
        </is>
      </c>
    </row>
    <row r="12">
      <c r="A12" s="5" t="inlineStr">
        <is>
          <t>Annual buildings insurance premium (£)</t>
        </is>
      </c>
      <c r="B12" s="6" t="n">
        <v>58400</v>
      </c>
    </row>
    <row r="13">
      <c r="A13" s="5" t="inlineStr">
        <is>
          <t>Insurance paid to (period end)</t>
        </is>
      </c>
      <c r="B13" s="7" t="inlineStr">
        <is>
          <t>2026-12-31</t>
        </is>
      </c>
    </row>
    <row r="15">
      <c r="A15" s="4" t="inlineStr">
        <is>
          <t>Apportionment calculations</t>
        </is>
      </c>
      <c r="B15" s="4" t="inlineStr"/>
      <c r="C15" s="4" t="inlineStr"/>
    </row>
    <row r="16">
      <c r="A16" s="5" t="inlineStr">
        <is>
          <t>Quarterly rent (advance) (£)</t>
        </is>
      </c>
      <c r="B16" s="8">
        <f>B8/4</f>
        <v/>
      </c>
    </row>
    <row r="17">
      <c r="A17" s="5" t="inlineStr">
        <is>
          <t>Days in current rent quarter</t>
        </is>
      </c>
      <c r="B17" s="9">
        <f>DATEVALUE(B11)-DATEVALUE(B10)</f>
        <v/>
      </c>
    </row>
    <row r="18">
      <c r="A18" s="5" t="inlineStr">
        <is>
          <t>Days from completion to next quarter day (buyer's share)</t>
        </is>
      </c>
      <c r="B18" s="9">
        <f>DATEVALUE(B11)-DATEVALUE(B9)</f>
        <v/>
      </c>
    </row>
    <row r="19">
      <c r="A19" s="5" t="inlineStr">
        <is>
          <t>Rent credit to buyer (completion to quarter end) (£)</t>
        </is>
      </c>
      <c r="B19" s="8">
        <f>B16*B18/B17</f>
        <v/>
      </c>
    </row>
    <row r="20">
      <c r="A20" s="5" t="inlineStr">
        <is>
          <t>Days from completion to insurance period end</t>
        </is>
      </c>
      <c r="B20" s="9">
        <f>DATEVALUE(B13)-DATEVALUE(B9)</f>
        <v/>
      </c>
    </row>
    <row r="21">
      <c r="A21" s="5" t="inlineStr">
        <is>
          <t>Insurance reimbursement to seller (£)</t>
        </is>
      </c>
      <c r="B21" s="8">
        <f>B12*B20/365</f>
        <v/>
      </c>
    </row>
    <row r="23">
      <c r="A23" s="4" t="inlineStr">
        <is>
          <t>Completion account</t>
        </is>
      </c>
      <c r="B23" s="4" t="inlineStr">
        <is>
          <t>Due to Seller (£)</t>
        </is>
      </c>
      <c r="C23" s="4" t="inlineStr">
        <is>
          <t>Credit to Buyer (£)</t>
        </is>
      </c>
    </row>
    <row r="24">
      <c r="A24" s="5" t="inlineStr">
        <is>
          <t>Purchase price</t>
        </is>
      </c>
      <c r="B24" s="10">
        <f>B6</f>
        <v/>
      </c>
    </row>
    <row r="25">
      <c r="A25" s="5" t="inlineStr">
        <is>
          <t>Less: deposit paid to seller's solicitors on exchange</t>
        </is>
      </c>
      <c r="C25" s="10">
        <f>B7</f>
        <v/>
      </c>
    </row>
    <row r="26">
      <c r="A26" s="5" t="inlineStr">
        <is>
          <t>Apportionment of rent — credit to Buyer (completion to next quarter day)</t>
        </is>
      </c>
      <c r="C26" s="10">
        <f>B19</f>
        <v/>
      </c>
    </row>
    <row r="27">
      <c r="A27" s="5" t="inlineStr">
        <is>
          <t>Apportionment of buildings insurance — reimbursement to Seller</t>
        </is>
      </c>
      <c r="B27" s="10">
        <f>B21</f>
        <v/>
      </c>
    </row>
    <row r="28">
      <c r="A28" s="11" t="inlineStr">
        <is>
          <t>Subtotals</t>
        </is>
      </c>
      <c r="B28" s="12">
        <f>SUM(B24:B27)</f>
        <v/>
      </c>
      <c r="C28" s="12">
        <f>SUM(C24:C27)</f>
        <v/>
      </c>
    </row>
    <row r="29">
      <c r="A29" s="13" t="inlineStr">
        <is>
          <t>BALANCE DUE FROM BUYER ON COMPLETION</t>
        </is>
      </c>
      <c r="B29" s="14">
        <f>B28-C28</f>
        <v/>
      </c>
    </row>
    <row r="31">
      <c r="A31" s="4" t="inlineStr">
        <is>
          <t>Memorandum — payable separately by Buyer</t>
        </is>
      </c>
      <c r="B31" s="4" t="inlineStr">
        <is>
          <t>Amount (£)</t>
        </is>
      </c>
      <c r="C31" s="4" t="inlineStr"/>
    </row>
    <row r="32">
      <c r="A32" s="5" t="inlineStr">
        <is>
          <t>Stamp Duty Land Tax (commercial, on purchase price)</t>
        </is>
      </c>
      <c r="B32" s="15">
        <f>ROUND(MAX(0,MIN(B6,250000)-150000)*0.02+MAX(0,B6-250000)*0.05,0)</f>
        <v/>
      </c>
    </row>
    <row r="33">
      <c r="A33" s="5" t="inlineStr">
        <is>
          <t>HM Land Registry registration fee (transfer of value &gt; £1m)</t>
        </is>
      </c>
      <c r="B33" s="15" t="n">
        <v>1105</v>
      </c>
    </row>
    <row r="34">
      <c r="A34" s="5" t="inlineStr">
        <is>
          <t>Search fees and pre-completion searches (est.)</t>
        </is>
      </c>
      <c r="B34" s="15" t="n">
        <v>520</v>
      </c>
    </row>
    <row r="35">
      <c r="A35" s="5" t="inlineStr">
        <is>
          <t>CHAPS / telegraphic transfer fees</t>
        </is>
      </c>
      <c r="B35" s="15" t="n">
        <v>60</v>
      </c>
    </row>
    <row r="36">
      <c r="A36" s="11" t="inlineStr">
        <is>
          <t>Total separately payable</t>
        </is>
      </c>
      <c r="B36" s="16">
        <f>SUM(B32:B35)</f>
        <v/>
      </c>
    </row>
    <row r="38">
      <c r="A38" s="4" t="inlineStr">
        <is>
          <t>Funds required from Buyer (cleared funds)</t>
        </is>
      </c>
      <c r="B38" s="4" t="inlineStr">
        <is>
          <t>Amount (£)</t>
        </is>
      </c>
      <c r="C38" s="4" t="inlineStr"/>
    </row>
    <row r="39">
      <c r="A39" s="5" t="inlineStr">
        <is>
          <t>Balance due on completion</t>
        </is>
      </c>
      <c r="B39" s="10">
        <f>B29</f>
        <v/>
      </c>
    </row>
    <row r="40">
      <c r="A40" s="5" t="inlineStr">
        <is>
          <t>Plus: amounts separately payable (SDLT, fees)</t>
        </is>
      </c>
      <c r="B40" s="10">
        <f>B36</f>
        <v/>
      </c>
    </row>
    <row r="41">
      <c r="A41" s="13" t="inlineStr">
        <is>
          <t>TOTAL FUNDS REQUIRED FROM BUYER</t>
        </is>
      </c>
      <c r="B41" s="14">
        <f>B29+B36</f>
        <v/>
      </c>
    </row>
    <row r="43">
      <c r="A43" s="11" t="inlineStr">
        <is>
          <t>Notes:</t>
        </is>
      </c>
    </row>
    <row r="44">
      <c r="A44" s="17" t="inlineStr">
        <is>
          <t>1. Yellow cells are inputs; all other figures are calculated. Apportionments are on a daily basis to the completion date of 15 May 2026.</t>
        </is>
      </c>
    </row>
    <row r="45">
      <c r="A45" s="17" t="inlineStr">
        <is>
          <t>2. Rent is payable quarterly in advance on the usual quarter days. As the Seller has collected the March quarter's rent in advance, the Buyer is credited with the rent for the period from completion to the next quarter day (24 June 2026).</t>
        </is>
      </c>
    </row>
    <row r="46">
      <c r="A46" s="17" t="inlineStr">
        <is>
          <t>3. The Buyer reimburses the Seller for the buildings insurance premium for the period from completion to the end of the current period of insurance (31 December 2026), to the extent not recoverable from the tenants.</t>
        </is>
      </c>
    </row>
    <row r="47">
      <c r="A47" s="17" t="inlineStr">
        <is>
          <t>4. The deposit of £1,850,000 paid on exchange is credited against the purchase price.</t>
        </is>
      </c>
    </row>
    <row r="48">
      <c r="A48" s="17" t="inlineStr">
        <is>
          <t>5. SDLT of £914,500 and the HM Land Registry fee are payable separately by the Buyer and are not part of the completion monies sent to the Seller's solicitors.</t>
        </is>
      </c>
    </row>
    <row r="49">
      <c r="A49" s="11" t="inlineStr">
        <is>
          <t>Prepared by E. Marchetti, Whitfield Carter LLP.</t>
        </is>
      </c>
    </row>
  </sheetData>
  <mergeCells count="10">
    <mergeCell ref="A49:C49"/>
    <mergeCell ref="A44:C44"/>
    <mergeCell ref="A47:C47"/>
    <mergeCell ref="A45:C45"/>
    <mergeCell ref="A46:C46"/>
    <mergeCell ref="A1:C1"/>
    <mergeCell ref="A3:C3"/>
    <mergeCell ref="A48:C48"/>
    <mergeCell ref="A43:C4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2026-06-10T22:54:53Z</dcterms:created>
  <dcterms:modified xmlns:dcterms="http://purl.org/dc/terms/" xmlns:xsi="http://www.w3.org/2001/XMLSchema-instance" xsi:type="dcterms:W3CDTF">2026-06-10T22:54:53Z</dcterms:modified>
</cp:coreProperties>
</file>