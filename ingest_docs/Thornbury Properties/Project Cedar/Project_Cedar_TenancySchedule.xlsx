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anc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;(£#,##0)"/>
    <numFmt numFmtId="165" formatCode="0.0%"/>
    <numFmt numFmtId="166" formatCode="£#,##0.00;(£#,##0.00)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95959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color rgb="000000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2" fontId="4" fillId="0" borderId="1" pivotButton="0" quotePrefix="0" xfId="0"/>
    <xf numFmtId="0" fontId="5" fillId="3" borderId="1" pivotButton="0" quotePrefix="0" xfId="0"/>
    <xf numFmtId="3" fontId="5" fillId="3" borderId="1" pivotButton="0" quotePrefix="0" xfId="0"/>
    <xf numFmtId="0" fontId="5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5" fontId="4" fillId="0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4" customWidth="1" min="11" max="11"/>
  </cols>
  <sheetData>
    <row r="1">
      <c r="A1" s="1" t="inlineStr">
        <is>
          <t>Project Cedar — Tenancy Schedule</t>
        </is>
      </c>
    </row>
    <row r="2">
      <c r="A2" s="2" t="inlineStr">
        <is>
          <t>Cedarbridge Business Park, Brunel Way, Reading RG2 0TD  |  Title BK472913  |  As at 12 December 2025</t>
        </is>
      </c>
    </row>
    <row r="4">
      <c r="A4" s="3" t="inlineStr">
        <is>
          <t>Unit</t>
        </is>
      </c>
      <c r="B4" s="3" t="inlineStr">
        <is>
          <t>Tenant</t>
        </is>
      </c>
      <c r="C4" s="3" t="inlineStr">
        <is>
          <t>Use</t>
        </is>
      </c>
      <c r="D4" s="3" t="inlineStr">
        <is>
          <t>Area (sq ft)</t>
        </is>
      </c>
      <c r="E4" s="3" t="inlineStr">
        <is>
          <t>Lease start</t>
        </is>
      </c>
      <c r="F4" s="3" t="inlineStr">
        <is>
          <t>Lease expiry</t>
        </is>
      </c>
      <c r="G4" s="3" t="inlineStr">
        <is>
          <t>Next review</t>
        </is>
      </c>
      <c r="H4" s="3" t="inlineStr">
        <is>
          <t>Break option</t>
        </is>
      </c>
      <c r="I4" s="3" t="inlineStr">
        <is>
          <t>Rent p.a. (£)</t>
        </is>
      </c>
      <c r="J4" s="3" t="inlineStr">
        <is>
          <t>Rent (£/sq ft)</t>
        </is>
      </c>
      <c r="K4" s="3" t="inlineStr">
        <is>
          <t>Rent deposit (£)</t>
        </is>
      </c>
    </row>
    <row r="5">
      <c r="A5" s="4" t="inlineStr">
        <is>
          <t>Unit 1</t>
        </is>
      </c>
      <c r="B5" s="4" t="inlineStr">
        <is>
          <t>Beacon Print &amp; Packaging Ltd</t>
        </is>
      </c>
      <c r="C5" s="4" t="inlineStr">
        <is>
          <t>Light industrial</t>
        </is>
      </c>
      <c r="D5" s="5" t="n">
        <v>11200</v>
      </c>
      <c r="E5" s="4" t="inlineStr">
        <is>
          <t>24 Jun 2019</t>
        </is>
      </c>
      <c r="F5" s="4" t="inlineStr">
        <is>
          <t>23 Jun 2029</t>
        </is>
      </c>
      <c r="G5" s="4" t="inlineStr">
        <is>
          <t>24 Jun 2024</t>
        </is>
      </c>
      <c r="H5" s="4" t="inlineStr">
        <is>
          <t>—</t>
        </is>
      </c>
      <c r="I5" s="5" t="n">
        <v>152000</v>
      </c>
      <c r="J5" s="6">
        <f>I5/D5</f>
        <v/>
      </c>
      <c r="K5" s="5" t="n">
        <v>0</v>
      </c>
    </row>
    <row r="6">
      <c r="A6" s="4" t="inlineStr">
        <is>
          <t>Unit 2</t>
        </is>
      </c>
      <c r="B6" s="4" t="inlineStr">
        <is>
          <t>Halcyon Retail Group</t>
        </is>
      </c>
      <c r="C6" s="4" t="inlineStr">
        <is>
          <t>Warehouse</t>
        </is>
      </c>
      <c r="D6" s="5" t="n">
        <v>13500</v>
      </c>
      <c r="E6" s="4" t="inlineStr">
        <is>
          <t>29 Sep 2016</t>
        </is>
      </c>
      <c r="F6" s="4" t="inlineStr">
        <is>
          <t>28 Sep 2031</t>
        </is>
      </c>
      <c r="G6" s="4" t="inlineStr">
        <is>
          <t>29 Sep 2026</t>
        </is>
      </c>
      <c r="H6" s="4" t="inlineStr">
        <is>
          <t>—</t>
        </is>
      </c>
      <c r="I6" s="5" t="n">
        <v>178500</v>
      </c>
      <c r="J6" s="6">
        <f>I6/D6</f>
        <v/>
      </c>
      <c r="K6" s="5" t="n">
        <v>0</v>
      </c>
    </row>
    <row r="7">
      <c r="A7" s="4" t="inlineStr">
        <is>
          <t>Unit 3</t>
        </is>
      </c>
      <c r="B7" s="4" t="inlineStr">
        <is>
          <t>Tilbury Components Ltd</t>
        </is>
      </c>
      <c r="C7" s="4" t="inlineStr">
        <is>
          <t>Light industrial</t>
        </is>
      </c>
      <c r="D7" s="5" t="n">
        <v>9800</v>
      </c>
      <c r="E7" s="4" t="inlineStr">
        <is>
          <t>25 Mar 2018</t>
        </is>
      </c>
      <c r="F7" s="4" t="inlineStr">
        <is>
          <t>24 Mar 2028</t>
        </is>
      </c>
      <c r="G7" s="4" t="inlineStr">
        <is>
          <t>25 Mar 2023</t>
        </is>
      </c>
      <c r="H7" s="4" t="inlineStr">
        <is>
          <t>24 Mar 2026</t>
        </is>
      </c>
      <c r="I7" s="5" t="n">
        <v>131000</v>
      </c>
      <c r="J7" s="6">
        <f>I7/D7</f>
        <v/>
      </c>
      <c r="K7" s="5" t="n">
        <v>0</v>
      </c>
    </row>
    <row r="8">
      <c r="A8" s="4" t="inlineStr">
        <is>
          <t>Unit 4</t>
        </is>
      </c>
      <c r="B8" s="4" t="inlineStr">
        <is>
          <t>Maple Systems Limited</t>
        </is>
      </c>
      <c r="C8" s="4" t="inlineStr">
        <is>
          <t>Office</t>
        </is>
      </c>
      <c r="D8" s="5" t="n">
        <v>10400</v>
      </c>
      <c r="E8" s="4" t="inlineStr">
        <is>
          <t>26 Dec 2020</t>
        </is>
      </c>
      <c r="F8" s="4" t="inlineStr">
        <is>
          <t>25 Dec 2030</t>
        </is>
      </c>
      <c r="G8" s="4" t="inlineStr">
        <is>
          <t>26 Dec 2025</t>
        </is>
      </c>
      <c r="H8" s="4" t="inlineStr">
        <is>
          <t>—</t>
        </is>
      </c>
      <c r="I8" s="5" t="n">
        <v>148000</v>
      </c>
      <c r="J8" s="6">
        <f>I8/D8</f>
        <v/>
      </c>
      <c r="K8" s="5" t="n">
        <v>45000</v>
      </c>
    </row>
    <row r="9">
      <c r="A9" s="4" t="inlineStr">
        <is>
          <t>Unit 5</t>
        </is>
      </c>
      <c r="B9" s="4" t="inlineStr">
        <is>
          <t>Reading Health Partners LLP</t>
        </is>
      </c>
      <c r="C9" s="4" t="inlineStr">
        <is>
          <t>Office</t>
        </is>
      </c>
      <c r="D9" s="5" t="n">
        <v>8600</v>
      </c>
      <c r="E9" s="4" t="inlineStr">
        <is>
          <t>24 Jun 2017</t>
        </is>
      </c>
      <c r="F9" s="4" t="inlineStr">
        <is>
          <t>23 Jun 2027</t>
        </is>
      </c>
      <c r="G9" s="4" t="inlineStr">
        <is>
          <t>24 Jun 2022</t>
        </is>
      </c>
      <c r="H9" s="4" t="inlineStr">
        <is>
          <t>23 Jun 2025</t>
        </is>
      </c>
      <c r="I9" s="5" t="n">
        <v>121000</v>
      </c>
      <c r="J9" s="6">
        <f>I9/D9</f>
        <v/>
      </c>
      <c r="K9" s="5" t="n">
        <v>0</v>
      </c>
    </row>
    <row r="10">
      <c r="A10" s="4" t="inlineStr">
        <is>
          <t>Unit 6</t>
        </is>
      </c>
      <c r="B10" s="4" t="inlineStr">
        <is>
          <t>Northgate Foods Ltd</t>
        </is>
      </c>
      <c r="C10" s="4" t="inlineStr">
        <is>
          <t>Light industrial</t>
        </is>
      </c>
      <c r="D10" s="5" t="n">
        <v>12300</v>
      </c>
      <c r="E10" s="4" t="inlineStr">
        <is>
          <t>29 Sep 2023</t>
        </is>
      </c>
      <c r="F10" s="4" t="inlineStr">
        <is>
          <t>28 Sep 2033</t>
        </is>
      </c>
      <c r="G10" s="4" t="inlineStr">
        <is>
          <t>29 Sep 2028</t>
        </is>
      </c>
      <c r="H10" s="4" t="inlineStr">
        <is>
          <t>—</t>
        </is>
      </c>
      <c r="I10" s="5" t="n">
        <v>162000</v>
      </c>
      <c r="J10" s="6">
        <f>I10/D10</f>
        <v/>
      </c>
      <c r="K10" s="5" t="n">
        <v>0</v>
      </c>
    </row>
    <row r="11">
      <c r="A11" s="4" t="inlineStr">
        <is>
          <t>Unit 7</t>
        </is>
      </c>
      <c r="B11" s="4" t="inlineStr">
        <is>
          <t>Verda Office Supplies Ltd</t>
        </is>
      </c>
      <c r="C11" s="4" t="inlineStr">
        <is>
          <t>Office</t>
        </is>
      </c>
      <c r="D11" s="5" t="n">
        <v>12600</v>
      </c>
      <c r="E11" s="4" t="inlineStr">
        <is>
          <t>26 Dec 2022</t>
        </is>
      </c>
      <c r="F11" s="4" t="inlineStr">
        <is>
          <t>25 Dec 2032</t>
        </is>
      </c>
      <c r="G11" s="4" t="inlineStr">
        <is>
          <t>26 Dec 2027</t>
        </is>
      </c>
      <c r="H11" s="4" t="inlineStr">
        <is>
          <t>—</t>
        </is>
      </c>
      <c r="I11" s="5" t="n">
        <v>170000</v>
      </c>
      <c r="J11" s="6">
        <f>I11/D11</f>
        <v/>
      </c>
      <c r="K11" s="5" t="n">
        <v>0</v>
      </c>
    </row>
    <row r="12">
      <c r="A12" s="7" t="inlineStr">
        <is>
          <t>Total / WALT</t>
        </is>
      </c>
      <c r="B12" s="7" t="n"/>
      <c r="C12" s="7" t="n"/>
      <c r="D12" s="8">
        <f>SUM(D5:D11)</f>
        <v/>
      </c>
      <c r="E12" s="7" t="n"/>
      <c r="F12" s="7" t="n"/>
      <c r="G12" s="7" t="n"/>
      <c r="H12" s="7" t="n"/>
      <c r="I12" s="8">
        <f>SUM(I5:I11)</f>
        <v/>
      </c>
      <c r="J12" s="7" t="n"/>
      <c r="K12" s="8">
        <f>SUM(K5:K11)</f>
        <v/>
      </c>
    </row>
    <row r="14">
      <c r="A14" s="9" t="inlineStr">
        <is>
          <t>Valuation metrics</t>
        </is>
      </c>
    </row>
    <row r="15">
      <c r="A15" s="10" t="inlineStr">
        <is>
          <t>Passing rent (£ p.a.)</t>
        </is>
      </c>
      <c r="B15" s="11">
        <f>I12</f>
        <v/>
      </c>
    </row>
    <row r="16">
      <c r="A16" s="10" t="inlineStr">
        <is>
          <t>Purchase price (£)</t>
        </is>
      </c>
      <c r="B16" s="12" t="n">
        <v>14250000</v>
      </c>
    </row>
    <row r="17">
      <c r="A17" s="10" t="inlineStr">
        <is>
          <t>Purchaser's costs (SDLT + fees, % of price)</t>
        </is>
      </c>
      <c r="B17" s="13" t="n">
        <v>0.052</v>
      </c>
    </row>
    <row r="18">
      <c r="A18" s="10" t="inlineStr">
        <is>
          <t>Gross initial yield</t>
        </is>
      </c>
      <c r="B18" s="14">
        <f>B15/B16</f>
        <v/>
      </c>
    </row>
    <row r="19">
      <c r="A19" s="10" t="inlineStr">
        <is>
          <t>Net initial yield (grossed-up for costs)</t>
        </is>
      </c>
      <c r="B19" s="14">
        <f>B15/(B16*(1+B17))</f>
        <v/>
      </c>
    </row>
    <row r="20">
      <c r="A20" s="10" t="inlineStr">
        <is>
          <t>Capital value (£/sq ft)</t>
        </is>
      </c>
      <c r="B20" s="15">
        <f>B16/D12</f>
        <v/>
      </c>
    </row>
    <row r="21">
      <c r="A21" s="10" t="inlineStr">
        <is>
          <t>Total rent deposit held (£)</t>
        </is>
      </c>
      <c r="B21" s="11">
        <f>K12</f>
        <v/>
      </c>
    </row>
    <row r="23">
      <c r="A23" s="2" t="inlineStr">
        <is>
          <t>Note: Units 6 and 7 within rent-free periods expiring 24 Mar 2026; figures show rent payable on expiry. Source: agreed tenancy schedule, Birchall Stone LLP, Oct 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2026-06-26T18:48:00Z</dcterms:created>
  <dcterms:modified xmlns:dcterms="http://purl.org/dc/terms/" xmlns:xsi="http://www.w3.org/2001/XMLSchema-instance" xsi:type="dcterms:W3CDTF">2026-06-26T18:48:00Z</dcterms:modified>
</cp:coreProperties>
</file>