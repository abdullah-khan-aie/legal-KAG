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1" pivotButton="0" quotePrefix="0" xfId="0"/>
    <xf numFmtId="3" fontId="4" fillId="0" borderId="1" pivotButton="0" quotePrefix="0" xfId="0"/>
    <xf numFmtId="0" fontId="5" fillId="3" borderId="1" pivotButton="0" quotePrefix="0" xfId="0"/>
    <xf numFmtId="0" fontId="2" fillId="3" borderId="1" pivotButton="0" quotePrefix="0" xfId="0"/>
    <xf numFmtId="3" fontId="5" fillId="3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16" customWidth="1" min="3" max="3"/>
  </cols>
  <sheetData>
    <row r="1">
      <c r="A1" s="1" t="inlineStr">
        <is>
          <t>Project Cedar — Completion Statement</t>
        </is>
      </c>
    </row>
    <row r="2">
      <c r="A2" s="2" t="inlineStr">
        <is>
          <t>Buyer: Thornbury Properties Limited  |  Seller: Westgate Trust Estates Limited  |  Completion: 12 December 2025</t>
        </is>
      </c>
    </row>
    <row r="4">
      <c r="A4" s="3" t="inlineStr">
        <is>
          <t>Item</t>
        </is>
      </c>
      <c r="B4" s="3" t="inlineStr">
        <is>
          <t>Detail</t>
        </is>
      </c>
      <c r="C4" s="3" t="inlineStr">
        <is>
          <t>£</t>
        </is>
      </c>
    </row>
    <row r="5">
      <c r="A5" s="4" t="inlineStr">
        <is>
          <t>Purchase price</t>
        </is>
      </c>
      <c r="B5" s="5" t="inlineStr">
        <is>
          <t>Per sale contract dated 21 Nov 2025</t>
        </is>
      </c>
      <c r="C5" s="6" t="n">
        <v>14250000</v>
      </c>
    </row>
    <row r="6">
      <c r="A6" s="4" t="inlineStr">
        <is>
          <t>Less: deposit paid on exchange</t>
        </is>
      </c>
      <c r="B6" s="5" t="inlineStr">
        <is>
          <t>10% paid 21 Nov 2025 (held as stakeholder)</t>
        </is>
      </c>
      <c r="C6" s="6" t="n">
        <v>-1425000</v>
      </c>
    </row>
    <row r="7">
      <c r="A7" s="4" t="inlineStr">
        <is>
          <t>Less: rent deposit transferred</t>
        </is>
      </c>
      <c r="B7" s="5" t="inlineStr">
        <is>
          <t>Unit 4 — Maple Systems Limited</t>
        </is>
      </c>
      <c r="C7" s="6" t="n">
        <v>-45000</v>
      </c>
    </row>
    <row r="8">
      <c r="A8" s="7" t="inlineStr">
        <is>
          <t>BALANCE OF PURCHASE PRICE</t>
        </is>
      </c>
      <c r="B8" s="8" t="inlineStr"/>
      <c r="C8" s="9">
        <f>C5+C6+C7</f>
        <v/>
      </c>
    </row>
    <row r="10">
      <c r="A10" s="7" t="inlineStr">
        <is>
          <t>Apportionments (Seller's favour / (Buyer's favour))</t>
        </is>
      </c>
      <c r="B10" s="8" t="inlineStr">
        <is>
          <t>Period from completion to next quarter day</t>
        </is>
      </c>
      <c r="C10" s="7" t="n"/>
    </row>
    <row r="11">
      <c r="A11" s="4" t="inlineStr">
        <is>
          <t>Rent — quarter to 25 Dec 2025 (5 units, paid in advance)</t>
        </is>
      </c>
      <c r="B11" s="5" t="inlineStr">
        <is>
          <t>Buyer credit for income from 12–25 Dec 2025</t>
        </is>
      </c>
      <c r="C11" s="6" t="n">
        <v>-38014</v>
      </c>
    </row>
    <row r="12">
      <c r="A12" s="4" t="inlineStr">
        <is>
          <t>Rent in arrears recoverable (Units rent-free adj.)</t>
        </is>
      </c>
      <c r="B12" s="5" t="inlineStr">
        <is>
          <t>Net adjustment per schedule</t>
        </is>
      </c>
      <c r="C12" s="6" t="n">
        <v>0</v>
      </c>
    </row>
    <row r="13">
      <c r="A13" s="4" t="inlineStr">
        <is>
          <t>Service charge on-account balance</t>
        </is>
      </c>
      <c r="B13" s="5" t="inlineStr">
        <is>
          <t>Buyer reimburses Seller (surplus held)</t>
        </is>
      </c>
      <c r="C13" s="6" t="n">
        <v>21300</v>
      </c>
    </row>
    <row r="14">
      <c r="A14" s="4" t="inlineStr">
        <is>
          <t>Insurance (risk passed on exchange)</t>
        </is>
      </c>
      <c r="B14" s="5" t="inlineStr">
        <is>
          <t>Period 21 Nov–12 Dec 2025</t>
        </is>
      </c>
      <c r="C14" s="6" t="n">
        <v>4820</v>
      </c>
    </row>
    <row r="15">
      <c r="A15" s="4" t="inlineStr">
        <is>
          <t>Buildings &amp; estate utilities (common parts)</t>
        </is>
      </c>
      <c r="B15" s="5" t="inlineStr">
        <is>
          <t>Apportioned to completion</t>
        </is>
      </c>
      <c r="C15" s="6" t="n">
        <v>3346</v>
      </c>
    </row>
    <row r="16">
      <c r="A16" s="7" t="inlineStr">
        <is>
          <t>NET APPORTIONMENTS</t>
        </is>
      </c>
      <c r="B16" s="8" t="inlineStr"/>
      <c r="C16" s="9">
        <f>SUM(C11:C15)</f>
        <v/>
      </c>
    </row>
    <row r="18">
      <c r="A18" s="7" t="inlineStr">
        <is>
          <t>BALANCE DUE FROM BUYER ON COMPLETION</t>
        </is>
      </c>
      <c r="B18" s="8" t="inlineStr"/>
      <c r="C18" s="9">
        <f>C8+C16</f>
        <v/>
      </c>
    </row>
    <row r="20">
      <c r="A20" s="10" t="inlineStr">
        <is>
          <t>Buyer's separate payments (not to Seller)</t>
        </is>
      </c>
    </row>
    <row r="21">
      <c r="A21" s="4" t="inlineStr">
        <is>
          <t>Stamp Duty Land Tax (non-residential)</t>
        </is>
      </c>
      <c r="B21" s="5" t="inlineStr">
        <is>
          <t>Slice calc on £14,250,000 — payable within 14 days</t>
        </is>
      </c>
      <c r="C21" s="6" t="n">
        <v>702000</v>
      </c>
    </row>
    <row r="22">
      <c r="A22" s="4" t="inlineStr">
        <is>
          <t>HM Land Registry registration fee</t>
        </is>
      </c>
      <c r="B22" s="5" t="inlineStr">
        <is>
          <t>Scale 2 (value &gt;£2m, electronic)</t>
        </is>
      </c>
      <c r="C22" s="6" t="n">
        <v>1105</v>
      </c>
    </row>
    <row r="23">
      <c r="A23" s="4" t="inlineStr">
        <is>
          <t>Search fees &amp; priority/bankruptcy searches</t>
        </is>
      </c>
      <c r="B23" s="5" t="inlineStr">
        <is>
          <t>Local, drainage, environmental, OS1, K16</t>
        </is>
      </c>
      <c r="C23" s="6" t="n">
        <v>685</v>
      </c>
    </row>
    <row r="24">
      <c r="A24" s="4" t="inlineStr">
        <is>
          <t>Whitfield Carter LLP fees (estimate, excl. VAT)</t>
        </is>
      </c>
      <c r="B24" s="5" t="inlineStr">
        <is>
          <t>Per engagement letter</t>
        </is>
      </c>
      <c r="C24" s="6" t="n">
        <v>41000</v>
      </c>
    </row>
    <row r="25">
      <c r="A25" s="7" t="inlineStr">
        <is>
          <t>Total Buyer outlay (price + apportionments + SDLT + fees + disb.)</t>
        </is>
      </c>
      <c r="B25" s="11" t="n"/>
      <c r="C25" s="9">
        <f>C18+SUM(C21:C24)</f>
        <v/>
      </c>
    </row>
    <row r="27">
      <c r="A27" s="2" t="inlineStr">
        <is>
          <t>Note: SDLT estimated at £706,250 in the engagement letter; reconciled to £702,000 on slice calculation. Source: HMRC SDLT1 working, Dec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2026-06-26T18:48:00Z</dcterms:created>
  <dcterms:modified xmlns:dcterms="http://purl.org/dc/terms/" xmlns:xsi="http://www.w3.org/2001/XMLSchema-instance" xsi:type="dcterms:W3CDTF">2026-06-26T18:48:00Z</dcterms:modified>
</cp:coreProperties>
</file>