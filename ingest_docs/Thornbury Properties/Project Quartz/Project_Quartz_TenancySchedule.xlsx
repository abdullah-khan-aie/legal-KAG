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anc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"/>
  </numFmts>
  <fonts count="5">
    <font>
      <name val="Calibri"/>
      <family val="2"/>
      <color theme="1"/>
      <sz val="11"/>
      <scheme val="minor"/>
    </font>
    <font>
      <b val="1"/>
      <color rgb="002E4C7E"/>
      <sz val="14"/>
    </font>
    <font>
      <i val="1"/>
      <color rgb="00555555"/>
      <sz val="10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E4C7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4" customWidth="1" min="3" max="3"/>
    <col width="12" customWidth="1" min="4" max="4"/>
    <col width="11" customWidth="1" min="5" max="5"/>
    <col width="9" customWidth="1" min="6" max="6"/>
    <col width="11" customWidth="1" min="7" max="7"/>
    <col width="13" customWidth="1" min="8" max="8"/>
    <col width="10" customWidth="1" min="9" max="9"/>
    <col width="11" customWidth="1" min="10" max="10"/>
    <col width="11" customWidth="1" min="11" max="11"/>
    <col width="9" customWidth="1" min="12" max="12"/>
  </cols>
  <sheetData>
    <row r="1">
      <c r="A1" s="1" t="inlineStr">
        <is>
          <t>Project Quartz - Tenancy Schedule</t>
        </is>
      </c>
    </row>
    <row r="2">
      <c r="A2" s="2" t="inlineStr">
        <is>
          <t>Quartz House, 14-18 Forbury Road, Reading RG1 3JH  |  Title BK482913  |  as at 1 February 2026</t>
        </is>
      </c>
    </row>
    <row r="4">
      <c r="A4" s="3" t="inlineStr">
        <is>
          <t>Unit</t>
        </is>
      </c>
      <c r="B4" s="3" t="inlineStr">
        <is>
          <t>Tenant</t>
        </is>
      </c>
      <c r="C4" s="3" t="inlineStr">
        <is>
          <t>Use</t>
        </is>
      </c>
      <c r="D4" s="3" t="inlineStr">
        <is>
          <t>Area (sq ft)</t>
        </is>
      </c>
      <c r="E4" s="3" t="inlineStr">
        <is>
          <t>Lease start</t>
        </is>
      </c>
      <c r="F4" s="3" t="inlineStr">
        <is>
          <t>Term (yrs)</t>
        </is>
      </c>
      <c r="G4" s="3" t="inlineStr">
        <is>
          <t>Expiry</t>
        </is>
      </c>
      <c r="H4" s="3" t="inlineStr">
        <is>
          <t>Rent p.a. (£)</t>
        </is>
      </c>
      <c r="I4" s="3" t="inlineStr">
        <is>
          <t>Rent £/sq ft</t>
        </is>
      </c>
      <c r="J4" s="3" t="inlineStr">
        <is>
          <t>Next review</t>
        </is>
      </c>
      <c r="K4" s="3" t="inlineStr">
        <is>
          <t>Break date</t>
        </is>
      </c>
      <c r="L4" s="3" t="inlineStr">
        <is>
          <t>1954 Act</t>
        </is>
      </c>
    </row>
    <row r="5">
      <c r="A5" s="4" t="inlineStr">
        <is>
          <t>Ground</t>
        </is>
      </c>
      <c r="B5" s="4" t="inlineStr">
        <is>
          <t>Meridian Software Solutions Limited</t>
        </is>
      </c>
      <c r="C5" s="4" t="inlineStr">
        <is>
          <t>Office</t>
        </is>
      </c>
      <c r="D5" s="4" t="n">
        <v>12400</v>
      </c>
      <c r="E5" s="4" t="inlineStr">
        <is>
          <t>25/03/2021</t>
        </is>
      </c>
      <c r="F5" s="4" t="n">
        <v>10</v>
      </c>
      <c r="G5" s="4" t="inlineStr">
        <is>
          <t>24/03/2031</t>
        </is>
      </c>
      <c r="H5" s="5" t="n">
        <v>248000</v>
      </c>
      <c r="I5" s="6">
        <f>H5/D5</f>
        <v/>
      </c>
      <c r="J5" s="4" t="inlineStr">
        <is>
          <t>25/03/2026</t>
        </is>
      </c>
      <c r="K5" s="4" t="inlineStr">
        <is>
          <t>-</t>
        </is>
      </c>
      <c r="L5" s="4" t="inlineStr">
        <is>
          <t>Inside</t>
        </is>
      </c>
    </row>
    <row r="6">
      <c r="A6" s="4" t="inlineStr">
        <is>
          <t>Unit 1</t>
        </is>
      </c>
      <c r="B6" s="4" t="inlineStr">
        <is>
          <t>Carrington Wealth LLP</t>
        </is>
      </c>
      <c r="C6" s="4" t="inlineStr">
        <is>
          <t>Office</t>
        </is>
      </c>
      <c r="D6" s="4" t="n">
        <v>8200</v>
      </c>
      <c r="E6" s="4" t="inlineStr">
        <is>
          <t>29/09/2023</t>
        </is>
      </c>
      <c r="F6" s="4" t="n">
        <v>5</v>
      </c>
      <c r="G6" s="4" t="inlineStr">
        <is>
          <t>28/09/2028</t>
        </is>
      </c>
      <c r="H6" s="5" t="n">
        <v>164400</v>
      </c>
      <c r="I6" s="6">
        <f>H6/D6</f>
        <v/>
      </c>
      <c r="J6" s="4" t="inlineStr">
        <is>
          <t>-</t>
        </is>
      </c>
      <c r="K6" s="4" t="inlineStr">
        <is>
          <t>29/09/2026</t>
        </is>
      </c>
      <c r="L6" s="4" t="inlineStr">
        <is>
          <t>Inside</t>
        </is>
      </c>
    </row>
    <row r="7">
      <c r="A7" s="4" t="inlineStr">
        <is>
          <t>Unit 2</t>
        </is>
      </c>
      <c r="B7" s="4" t="inlineStr">
        <is>
          <t>Aldgate Print Services Limited</t>
        </is>
      </c>
      <c r="C7" s="4" t="inlineStr">
        <is>
          <t>Office / studio</t>
        </is>
      </c>
      <c r="D7" s="4" t="n">
        <v>6400</v>
      </c>
      <c r="E7" s="4" t="inlineStr">
        <is>
          <t>14/03/2023</t>
        </is>
      </c>
      <c r="F7" s="4" t="n">
        <v>5</v>
      </c>
      <c r="G7" s="4" t="inlineStr">
        <is>
          <t>13/03/2028</t>
        </is>
      </c>
      <c r="H7" s="5" t="n">
        <v>112000</v>
      </c>
      <c r="I7" s="6">
        <f>H7/D7</f>
        <v/>
      </c>
      <c r="J7" s="4" t="inlineStr">
        <is>
          <t>14/03/2028</t>
        </is>
      </c>
      <c r="K7" s="4" t="inlineStr">
        <is>
          <t>-</t>
        </is>
      </c>
      <c r="L7" s="4" t="inlineStr">
        <is>
          <t>Inside</t>
        </is>
      </c>
    </row>
    <row r="8">
      <c r="A8" s="4" t="inlineStr">
        <is>
          <t>Unit 3</t>
        </is>
      </c>
      <c r="B8" s="4" t="inlineStr">
        <is>
          <t>Holt &amp; Bridger Architects Ltd</t>
        </is>
      </c>
      <c r="C8" s="4" t="inlineStr">
        <is>
          <t>Office</t>
        </is>
      </c>
      <c r="D8" s="4" t="n">
        <v>4200</v>
      </c>
      <c r="E8" s="4" t="inlineStr">
        <is>
          <t>01/06/2024</t>
        </is>
      </c>
      <c r="F8" s="4" t="n">
        <v>3</v>
      </c>
      <c r="G8" s="4" t="inlineStr">
        <is>
          <t>31/05/2027</t>
        </is>
      </c>
      <c r="H8" s="5" t="n">
        <v>88000</v>
      </c>
      <c r="I8" s="6">
        <f>H8/D8</f>
        <v/>
      </c>
      <c r="J8" s="4" t="inlineStr">
        <is>
          <t>-</t>
        </is>
      </c>
      <c r="K8" s="4" t="inlineStr">
        <is>
          <t>-</t>
        </is>
      </c>
      <c r="L8" s="4" t="inlineStr">
        <is>
          <t>Outside</t>
        </is>
      </c>
    </row>
    <row r="9">
      <c r="B9" s="7" t="inlineStr">
        <is>
          <t>Total passing rent</t>
        </is>
      </c>
      <c r="D9" s="7">
        <f>SUM(D5:D8)</f>
        <v/>
      </c>
      <c r="H9" s="8">
        <f>SUM(H5:H8)</f>
        <v/>
      </c>
    </row>
    <row r="11">
      <c r="B11" s="7" t="inlineStr">
        <is>
          <t>Total NIA (sq ft)</t>
        </is>
      </c>
      <c r="D11">
        <f>D9</f>
        <v/>
      </c>
    </row>
    <row r="12">
      <c r="B12" s="7" t="inlineStr">
        <is>
          <t>Total passing rent (£ p.a.)</t>
        </is>
      </c>
      <c r="D12" s="9">
        <f>H9</f>
        <v/>
      </c>
    </row>
    <row r="13">
      <c r="B13" s="7" t="inlineStr">
        <is>
          <t>Number of tenants</t>
        </is>
      </c>
      <c r="D13" t="n">
        <v>4</v>
      </c>
    </row>
    <row r="14">
      <c r="B14" s="7" t="inlineStr">
        <is>
          <t>Purchase price (£)</t>
        </is>
      </c>
      <c r="D14" s="9" t="n">
        <v>8450000</v>
      </c>
    </row>
    <row r="15">
      <c r="B15" s="7" t="inlineStr">
        <is>
          <t>Net initial yield (after 6.8% costs)</t>
        </is>
      </c>
      <c r="D15" s="10">
        <f>H9/(D14*1.068)</f>
        <v/>
      </c>
    </row>
    <row r="16">
      <c r="B16" s="7" t="inlineStr">
        <is>
          <t>Capital value £/sq ft</t>
        </is>
      </c>
      <c r="D16" s="9">
        <f>D14/D9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2026-06-28T15:23:21Z</dcterms:created>
  <dcterms:modified xmlns:dcterms="http://purl.org/dc/terms/" xmlns:xsi="http://www.w3.org/2001/XMLSchema-instance" xsi:type="dcterms:W3CDTF">2026-06-28T15:23:21Z</dcterms:modified>
</cp:coreProperties>
</file>