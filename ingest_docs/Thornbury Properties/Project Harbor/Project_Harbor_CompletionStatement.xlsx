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name val="Arial"/>
      <b val="1"/>
      <color rgb="001F4E66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sz val="10"/>
    </font>
    <font>
      <name val="Arial"/>
      <b val="1"/>
      <color rgb="001F4E66"/>
      <sz val="11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66"/>
      </patternFill>
    </fill>
    <fill>
      <patternFill patternType="solid">
        <fgColor rgb="00EEF3F7"/>
      </patternFill>
    </fill>
    <fill>
      <patternFill patternType="solid">
        <fgColor rgb="00D9E6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3" borderId="1" pivotButton="0" quotePrefix="0" xfId="0"/>
    <xf numFmtId="164" fontId="6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164" fontId="7" fillId="4" borderId="1" pivotButton="0" quotePrefix="0" xfId="0"/>
    <xf numFmtId="0" fontId="6" fillId="0" borderId="0" pivotButton="0" quotePrefix="0" xfId="0"/>
    <xf numFmtId="0" fontId="4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0" customWidth="1" min="3" max="3"/>
    <col width="20" customWidth="1" min="4" max="4"/>
  </cols>
  <sheetData>
    <row r="1">
      <c r="A1" s="1" t="inlineStr">
        <is>
          <t>PROJECT HARBOR — COMPLETION STATEMENT</t>
        </is>
      </c>
    </row>
    <row r="2">
      <c r="A2" s="2" t="inlineStr">
        <is>
          <t>Buyer: Thornbury Properties Limited  ·  Seller: Glennister Estates Limited  ·  Completion: 27 February 2026</t>
        </is>
      </c>
    </row>
    <row r="3">
      <c r="A3" s="2" t="inlineStr">
        <is>
          <t>Property: Maritime Quarter, 1-7 Brunswick Wharf, Bristol BS1 6XG</t>
        </is>
      </c>
    </row>
    <row r="5">
      <c r="A5" s="3" t="inlineStr">
        <is>
          <t>Item</t>
        </is>
      </c>
      <c r="B5" s="3" t="inlineStr">
        <is>
          <t>Detail</t>
        </is>
      </c>
      <c r="C5" s="3" t="inlineStr">
        <is>
          <t>Due to Seller (£)</t>
        </is>
      </c>
      <c r="D5" s="3" t="inlineStr">
        <is>
          <t>Due to Buyer (£)</t>
        </is>
      </c>
    </row>
    <row r="6">
      <c r="A6" s="4" t="inlineStr">
        <is>
          <t>Purchase price</t>
        </is>
      </c>
      <c r="B6" s="5" t="inlineStr">
        <is>
          <t>Per Contract (excl. VAT, TOGC)</t>
        </is>
      </c>
      <c r="C6" s="6" t="n">
        <v>32400000</v>
      </c>
      <c r="D6" s="7" t="n"/>
    </row>
    <row r="7">
      <c r="A7" s="4" t="inlineStr">
        <is>
          <t>Less: deposit paid on exchange</t>
        </is>
      </c>
      <c r="B7" s="5" t="inlineStr">
        <is>
          <t>10% paid 27/02/2026 to Seller's solicitors (stakeholder)</t>
        </is>
      </c>
      <c r="C7" s="7" t="n"/>
      <c r="D7" s="6" t="n">
        <v>3240000</v>
      </c>
    </row>
    <row r="8">
      <c r="A8" s="4" t="inlineStr">
        <is>
          <t>Apportionment: rent in advance</t>
        </is>
      </c>
      <c r="B8" s="5" t="inlineStr">
        <is>
          <t>Mar quarter rents paid in advance, apportioned to Buyer (33 days)</t>
        </is>
      </c>
      <c r="C8" s="7" t="n"/>
      <c r="D8" s="6" t="n">
        <v>193303.56</v>
      </c>
    </row>
    <row r="9">
      <c r="A9" s="4" t="inlineStr">
        <is>
          <t>Apportionment: service charge</t>
        </is>
      </c>
      <c r="B9" s="5" t="inlineStr">
        <is>
          <t>Q1 service charge on-account, apportioned to Buyer</t>
        </is>
      </c>
      <c r="C9" s="7" t="n"/>
      <c r="D9" s="6" t="n">
        <v>28780</v>
      </c>
    </row>
    <row r="10">
      <c r="A10" s="4" t="inlineStr">
        <is>
          <t>Rent deposit (Brunswick) transferred</t>
        </is>
      </c>
      <c r="B10" s="5" t="inlineStr">
        <is>
          <t>Deposit + accrued interest assigned to Buyer</t>
        </is>
      </c>
      <c r="C10" s="7" t="n"/>
      <c r="D10" s="6" t="n">
        <v>221847</v>
      </c>
    </row>
    <row r="11">
      <c r="A11" s="4" t="inlineStr">
        <is>
          <t>Insurance apportionment</t>
        </is>
      </c>
      <c r="B11" s="5" t="inlineStr">
        <is>
          <t>Buildings insurance prepaid by Seller, apportioned to Seller</t>
        </is>
      </c>
      <c r="C11" s="6" t="n">
        <v>5538.42</v>
      </c>
      <c r="D11" s="7" t="n"/>
    </row>
    <row r="12">
      <c r="A12" s="4" t="inlineStr">
        <is>
          <t>Completion monies retained (Penrose review)</t>
        </is>
      </c>
      <c r="B12" s="5" t="inlineStr">
        <is>
          <t>Retention re outstanding rent review, held by Buyer's solicitors</t>
        </is>
      </c>
      <c r="C12" s="7" t="n"/>
      <c r="D12" s="6" t="n">
        <v>15000</v>
      </c>
    </row>
    <row r="13">
      <c r="A13" s="8" t="n"/>
      <c r="B13" s="8" t="inlineStr">
        <is>
          <t>Sub-totals</t>
        </is>
      </c>
      <c r="C13" s="9">
        <f>SUM(C6:C12)</f>
        <v/>
      </c>
      <c r="D13" s="9">
        <f>SUM(D6:D12)</f>
        <v/>
      </c>
    </row>
    <row r="14">
      <c r="A14" s="10" t="n"/>
      <c r="B14" s="11" t="inlineStr">
        <is>
          <t>BALANCE DUE FROM BUYER ON COMPLETION</t>
        </is>
      </c>
      <c r="C14" s="12">
        <f>C13-D13</f>
        <v/>
      </c>
      <c r="D14" s="10" t="n"/>
    </row>
    <row r="16">
      <c r="A16" s="13" t="inlineStr">
        <is>
          <t>Reconciliation</t>
        </is>
      </c>
    </row>
    <row r="17">
      <c r="A17" s="14" t="inlineStr">
        <is>
          <t>Purchase price</t>
        </is>
      </c>
      <c r="B17" s="15" t="n">
        <v>32400000</v>
      </c>
    </row>
    <row r="18">
      <c r="A18" s="14" t="inlineStr">
        <is>
          <t>Less: deposit paid on exchange</t>
        </is>
      </c>
      <c r="B18" s="16" t="n">
        <v>-3240000</v>
      </c>
    </row>
    <row r="19">
      <c r="A19" s="14" t="inlineStr">
        <is>
          <t>Net price balance</t>
        </is>
      </c>
      <c r="B19" s="16">
        <f>B17+B18</f>
        <v/>
      </c>
    </row>
    <row r="20">
      <c r="A20" s="14" t="inlineStr">
        <is>
          <t>Net apportionments due to Buyer</t>
        </is>
      </c>
      <c r="B20" s="16">
        <f>C13-D13-B19</f>
        <v/>
      </c>
    </row>
    <row r="21">
      <c r="A21" s="13" t="inlineStr">
        <is>
          <t>Balance payable on completion</t>
        </is>
      </c>
      <c r="B21" s="17">
        <f>B19+B20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2026-06-25T19:30:56Z</dcterms:created>
  <dcterms:modified xmlns:dcterms="http://purl.org/dc/terms/" xmlns:xsi="http://www.w3.org/2001/XMLSchema-instance" xsi:type="dcterms:W3CDTF">2026-06-25T19:30:56Z</dcterms:modified>
</cp:coreProperties>
</file>