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c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66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66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1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PROJECT HARBOR — TENANCY SCHEDULE</t>
        </is>
      </c>
    </row>
    <row r="2">
      <c r="A2" s="2" t="inlineStr">
        <is>
          <t>Maritime Quarter, 1-7 Brunswick Wharf, Bristol BS1 6XG  ·  Title AV428517  ·  as at 6 February 2026</t>
        </is>
      </c>
    </row>
    <row r="4">
      <c r="A4" s="3" t="inlineStr">
        <is>
          <t>Unit</t>
        </is>
      </c>
      <c r="B4" s="3" t="inlineStr">
        <is>
          <t>Tenant</t>
        </is>
      </c>
      <c r="C4" s="3" t="inlineStr">
        <is>
          <t>Use</t>
        </is>
      </c>
      <c r="D4" s="3" t="inlineStr">
        <is>
          <t>Lease start</t>
        </is>
      </c>
      <c r="E4" s="3" t="inlineStr">
        <is>
          <t>Lease expiry</t>
        </is>
      </c>
      <c r="F4" s="3" t="inlineStr">
        <is>
          <t>Break date</t>
        </is>
      </c>
      <c r="G4" s="3" t="inlineStr">
        <is>
          <t>Area (sq ft)</t>
        </is>
      </c>
      <c r="H4" s="3" t="inlineStr">
        <is>
          <t>Passing rent (£ p.a.)</t>
        </is>
      </c>
      <c r="I4" s="3" t="inlineStr">
        <is>
          <t>Rent (£/sq ft)</t>
        </is>
      </c>
      <c r="J4" s="3" t="inlineStr">
        <is>
          <t>Next review</t>
        </is>
      </c>
      <c r="K4" s="3" t="inlineStr">
        <is>
          <t>Repairing basis</t>
        </is>
      </c>
    </row>
    <row r="5">
      <c r="A5" s="4" t="inlineStr">
        <is>
          <t>G1-G2</t>
        </is>
      </c>
      <c r="B5" s="5" t="inlineStr">
        <is>
          <t>Brunswick Maritime Services Ltd</t>
        </is>
      </c>
      <c r="C5" s="5" t="inlineStr">
        <is>
          <t>Leisure</t>
        </is>
      </c>
      <c r="D5" s="4" t="inlineStr">
        <is>
          <t>24/06/2019</t>
        </is>
      </c>
      <c r="E5" s="4" t="inlineStr">
        <is>
          <t>23/06/2034</t>
        </is>
      </c>
      <c r="F5" s="4" t="inlineStr">
        <is>
          <t>23/06/2029</t>
        </is>
      </c>
      <c r="G5" s="6" t="n">
        <v>28400</v>
      </c>
      <c r="H5" s="7" t="n">
        <v>876000</v>
      </c>
      <c r="I5" s="8">
        <f>H5/G5</f>
        <v/>
      </c>
      <c r="J5" s="4" t="inlineStr">
        <is>
          <t>24/06/2024</t>
        </is>
      </c>
      <c r="K5" s="4" t="inlineStr">
        <is>
          <t>FRI</t>
        </is>
      </c>
    </row>
    <row r="6">
      <c r="A6" s="4" t="inlineStr">
        <is>
          <t>Suite 101</t>
        </is>
      </c>
      <c r="B6" s="5" t="inlineStr">
        <is>
          <t>Caldicott &amp; Rowe LLP</t>
        </is>
      </c>
      <c r="C6" s="5" t="inlineStr">
        <is>
          <t>Office</t>
        </is>
      </c>
      <c r="D6" s="4" t="inlineStr">
        <is>
          <t>25/03/2021</t>
        </is>
      </c>
      <c r="E6" s="4" t="inlineStr">
        <is>
          <t>24/03/2031</t>
        </is>
      </c>
      <c r="F6" s="4" t="n"/>
      <c r="G6" s="6" t="n">
        <v>9620</v>
      </c>
      <c r="H6" s="7" t="n">
        <v>318400</v>
      </c>
      <c r="I6" s="8">
        <f>H6/G6</f>
        <v/>
      </c>
      <c r="J6" s="4" t="inlineStr">
        <is>
          <t>25/03/2026</t>
        </is>
      </c>
      <c r="K6" s="4" t="inlineStr">
        <is>
          <t>FRI</t>
        </is>
      </c>
    </row>
    <row r="7">
      <c r="A7" s="4" t="inlineStr">
        <is>
          <t>Suite 201</t>
        </is>
      </c>
      <c r="B7" s="5" t="inlineStr">
        <is>
          <t>Harbourside Media Ltd</t>
        </is>
      </c>
      <c r="C7" s="5" t="inlineStr">
        <is>
          <t>Office</t>
        </is>
      </c>
      <c r="D7" s="4" t="inlineStr">
        <is>
          <t>29/09/2022</t>
        </is>
      </c>
      <c r="E7" s="4" t="inlineStr">
        <is>
          <t>28/09/2030</t>
        </is>
      </c>
      <c r="F7" s="4" t="inlineStr">
        <is>
          <t>28/09/2026</t>
        </is>
      </c>
      <c r="G7" s="6" t="n">
        <v>7450</v>
      </c>
      <c r="H7" s="7" t="n">
        <v>246500</v>
      </c>
      <c r="I7" s="8">
        <f>H7/G7</f>
        <v/>
      </c>
      <c r="J7" s="4" t="inlineStr">
        <is>
          <t>29/09/2027</t>
        </is>
      </c>
      <c r="K7" s="4" t="inlineStr">
        <is>
          <t>FRI</t>
        </is>
      </c>
    </row>
    <row r="8">
      <c r="A8" s="4" t="inlineStr">
        <is>
          <t>Suite 202</t>
        </is>
      </c>
      <c r="B8" s="5" t="inlineStr">
        <is>
          <t>Penrose Analytics Ltd</t>
        </is>
      </c>
      <c r="C8" s="5" t="inlineStr">
        <is>
          <t>Office</t>
        </is>
      </c>
      <c r="D8" s="4" t="inlineStr">
        <is>
          <t>01/05/2020</t>
        </is>
      </c>
      <c r="E8" s="4" t="inlineStr">
        <is>
          <t>30/04/2030</t>
        </is>
      </c>
      <c r="F8" s="4" t="n"/>
      <c r="G8" s="6" t="n">
        <v>6890</v>
      </c>
      <c r="H8" s="7" t="n">
        <v>228000</v>
      </c>
      <c r="I8" s="8">
        <f>H8/G8</f>
        <v/>
      </c>
      <c r="J8" s="4" t="inlineStr">
        <is>
          <t>01/05/2025 (o/s)</t>
        </is>
      </c>
      <c r="K8" s="4" t="inlineStr">
        <is>
          <t>FRI</t>
        </is>
      </c>
    </row>
    <row r="9">
      <c r="A9" s="4" t="inlineStr">
        <is>
          <t>Suite 301</t>
        </is>
      </c>
      <c r="B9" s="5" t="inlineStr">
        <is>
          <t>Tasveer Architecture Ltd</t>
        </is>
      </c>
      <c r="C9" s="5" t="inlineStr">
        <is>
          <t>Office</t>
        </is>
      </c>
      <c r="D9" s="4" t="inlineStr">
        <is>
          <t>24/06/2023</t>
        </is>
      </c>
      <c r="E9" s="4" t="inlineStr">
        <is>
          <t>23/06/2030</t>
        </is>
      </c>
      <c r="F9" s="4" t="n"/>
      <c r="G9" s="6" t="n">
        <v>6180</v>
      </c>
      <c r="H9" s="7" t="n">
        <v>204500</v>
      </c>
      <c r="I9" s="8">
        <f>H9/G9</f>
        <v/>
      </c>
      <c r="J9" s="4" t="inlineStr">
        <is>
          <t>24/06/2028</t>
        </is>
      </c>
      <c r="K9" s="4" t="inlineStr">
        <is>
          <t>FRI</t>
        </is>
      </c>
    </row>
    <row r="10">
      <c r="A10" s="4" t="inlineStr">
        <is>
          <t>Suite 401</t>
        </is>
      </c>
      <c r="B10" s="5" t="inlineStr">
        <is>
          <t>Quaymont Wealth Ltd</t>
        </is>
      </c>
      <c r="C10" s="5" t="inlineStr">
        <is>
          <t>Office</t>
        </is>
      </c>
      <c r="D10" s="4" t="inlineStr">
        <is>
          <t>25/12/2021</t>
        </is>
      </c>
      <c r="E10" s="4" t="inlineStr">
        <is>
          <t>24/12/2031</t>
        </is>
      </c>
      <c r="F10" s="4" t="n"/>
      <c r="G10" s="6" t="n">
        <v>5810</v>
      </c>
      <c r="H10" s="7" t="n">
        <v>192000</v>
      </c>
      <c r="I10" s="8">
        <f>H10/G10</f>
        <v/>
      </c>
      <c r="J10" s="4" t="inlineStr">
        <is>
          <t>25/12/2026</t>
        </is>
      </c>
      <c r="K10" s="4" t="inlineStr">
        <is>
          <t>FRI</t>
        </is>
      </c>
    </row>
    <row r="11">
      <c r="A11" s="4" t="inlineStr">
        <is>
          <t>G3</t>
        </is>
      </c>
      <c r="B11" s="5" t="inlineStr">
        <is>
          <t>Anchor &amp; Fern Ltd</t>
        </is>
      </c>
      <c r="C11" s="5" t="inlineStr">
        <is>
          <t>Cafe/Leisure</t>
        </is>
      </c>
      <c r="D11" s="4" t="inlineStr">
        <is>
          <t>25/03/2022</t>
        </is>
      </c>
      <c r="E11" s="4" t="inlineStr">
        <is>
          <t>24/03/2034</t>
        </is>
      </c>
      <c r="F11" s="4" t="n"/>
      <c r="G11" s="6" t="n">
        <v>2210</v>
      </c>
      <c r="H11" s="7" t="n">
        <v>73000</v>
      </c>
      <c r="I11" s="8">
        <f>H11/G11</f>
        <v/>
      </c>
      <c r="J11" s="4" t="inlineStr">
        <is>
          <t>25/03/2027</t>
        </is>
      </c>
      <c r="K11" s="4" t="inlineStr">
        <is>
          <t>FRI</t>
        </is>
      </c>
    </row>
    <row r="12">
      <c r="A12" s="9" t="inlineStr">
        <is>
          <t>TOTAL</t>
        </is>
      </c>
      <c r="B12" s="9" t="n"/>
      <c r="C12" s="9" t="n"/>
      <c r="D12" s="9" t="n"/>
      <c r="E12" s="9" t="n"/>
      <c r="F12" s="9" t="n"/>
      <c r="G12" s="10">
        <f>SUM(G5:G11)</f>
        <v/>
      </c>
      <c r="H12" s="11">
        <f>SUM(H5:H11)</f>
        <v/>
      </c>
      <c r="I12" s="12">
        <f>H12/G12</f>
        <v/>
      </c>
      <c r="J12" s="9" t="n"/>
      <c r="K12" s="9" t="n"/>
    </row>
    <row r="14">
      <c r="A14" s="13" t="inlineStr">
        <is>
          <t>Investment metrics</t>
        </is>
      </c>
    </row>
    <row r="15">
      <c r="A15" s="14" t="inlineStr">
        <is>
          <t>Total passing rent (£ p.a.)</t>
        </is>
      </c>
      <c r="B15" s="15">
        <f>H12</f>
        <v/>
      </c>
    </row>
    <row r="16">
      <c r="A16" s="14" t="inlineStr">
        <is>
          <t>Purchase price (excl. VAT)</t>
        </is>
      </c>
      <c r="B16" s="16" t="n">
        <v>32400000</v>
      </c>
    </row>
    <row r="17">
      <c r="A17" s="14" t="inlineStr">
        <is>
          <t>Net initial yield (after 6.8% costs)</t>
        </is>
      </c>
      <c r="B17" s="17">
        <f>B15/(B16*1.068)</f>
        <v/>
      </c>
    </row>
    <row r="18">
      <c r="A18" s="14" t="inlineStr">
        <is>
          <t>Gross initial yield</t>
        </is>
      </c>
      <c r="B18" s="17">
        <f>B15/B16</f>
        <v/>
      </c>
    </row>
    <row r="19">
      <c r="A19" s="14" t="inlineStr">
        <is>
          <t>Total area (sq ft)</t>
        </is>
      </c>
      <c r="B19" s="18">
        <f>G12</f>
        <v/>
      </c>
    </row>
    <row r="20">
      <c r="A20" s="14" t="inlineStr">
        <is>
          <t>Brunswick Maritime as % of income</t>
        </is>
      </c>
      <c r="B20" s="19">
        <f>H5/H12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2026-06-25T19:30:56Z</dcterms:created>
  <dcterms:modified xmlns:dcterms="http://purl.org/dc/terms/" xmlns:xsi="http://www.w3.org/2001/XMLSchema-instance" xsi:type="dcterms:W3CDTF">2026-06-25T19:30:56Z</dcterms:modified>
</cp:coreProperties>
</file>