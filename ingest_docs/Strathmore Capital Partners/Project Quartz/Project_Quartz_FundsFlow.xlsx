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s 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<sst xmlns="http://schemas.openxmlformats.org/spreadsheetml/2006/main" count="45" uniqueCount="42">
  <si>
    <t xml:space="preserve">Project Quartz — Completion Funds Flow Statement</t>
  </si>
  <si>
    <t xml:space="preserve">Velloran Hygiene Limited  |  Completion: 28 March 2026</t>
  </si>
  <si>
    <t xml:space="preserve">Prepared by Whitfield Carter LLP. All amounts in £.</t>
  </si>
  <si>
    <t xml:space="preserve">SOURCES OF FUNDS</t>
  </si>
  <si>
    <t xml:space="preserve">Source</t>
  </si>
  <si>
    <t xml:space="preserve">Provider</t>
  </si>
  <si>
    <t xml:space="preserve">£</t>
  </si>
  <si>
    <t xml:space="preserve">Equity from Strathmore Capital Partners LLP</t>
  </si>
  <si>
    <t xml:space="preserve">Strathmore (fund)</t>
  </si>
  <si>
    <t xml:space="preserve">Senior acquisition facility</t>
  </si>
  <si>
    <t xml:space="preserve">Northbank plc</t>
  </si>
  <si>
    <t xml:space="preserve">Cash on Buyer balance sheet</t>
  </si>
  <si>
    <t xml:space="preserve">Strathmore Vellum Bidco</t>
  </si>
  <si>
    <t xml:space="preserve">Total sources</t>
  </si>
  <si>
    <t xml:space="preserve">APPLICATION OF FUNDS</t>
  </si>
  <si>
    <t xml:space="preserve">Application</t>
  </si>
  <si>
    <t xml:space="preserve">Payee</t>
  </si>
  <si>
    <t xml:space="preserve">Cash consideration to Sellers (net of Retention)</t>
  </si>
  <si>
    <t xml:space="preserve">Birchall Stone LLP client account</t>
  </si>
  <si>
    <t xml:space="preserve">Retention into joint account</t>
  </si>
  <si>
    <t xml:space="preserve">Joint solicitors' account</t>
  </si>
  <si>
    <t xml:space="preserve">Repayment of Clydesford Bank debenture</t>
  </si>
  <si>
    <t xml:space="preserve">Clydesford Bank plc</t>
  </si>
  <si>
    <t xml:space="preserve">Buyer's legal fees</t>
  </si>
  <si>
    <t xml:space="preserve">Whitfield Carter LLP</t>
  </si>
  <si>
    <t xml:space="preserve">Sellers' legal fees (per SPA)</t>
  </si>
  <si>
    <t xml:space="preserve">Birchall Stone LLP</t>
  </si>
  <si>
    <t xml:space="preserve">Stamp duty (0.5% of consideration)</t>
  </si>
  <si>
    <t xml:space="preserve">HMRC</t>
  </si>
  <si>
    <t xml:space="preserve">Lender arrangement fee</t>
  </si>
  <si>
    <t xml:space="preserve">W&amp;I insurance premium</t>
  </si>
  <si>
    <t xml:space="preserve">Aldgate Specialty (Underwriting) Ltd</t>
  </si>
  <si>
    <t xml:space="preserve">Total applications</t>
  </si>
  <si>
    <t xml:space="preserve">Balance (sources less applications)</t>
  </si>
  <si>
    <t xml:space="preserve">Consideration reference</t>
  </si>
  <si>
    <t xml:space="preserve">Item</t>
  </si>
  <si>
    <t xml:space="preserve">Initial Cash Consideration</t>
  </si>
  <si>
    <t xml:space="preserve">Retention (within initial cash)</t>
  </si>
  <si>
    <t xml:space="preserve">Deferred Consideration</t>
  </si>
  <si>
    <t xml:space="preserve">Equity Value</t>
  </si>
  <si>
    <t xml:space="preserve">Enterprise Value</t>
  </si>
  <si>
    <t xml:space="preserve">Check: cash to sellers + retention = Initial Cash Consideration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</si>
</sst>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;&quot;(£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4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</row>
    <row r="7" customFormat="false" ht="15" hidden="false" customHeight="false" outlineLevel="0" collapsed="false">
      <c r="A7" s="6" t="s">
        <v>7</v>
      </c>
      <c r="B7" s="6" t="s">
        <v>8</v>
      </c>
      <c r="C7" s="7" t="n">
        <f aca="false">C22-C8-C9</f>
        <v>26553750</v>
      </c>
    </row>
    <row r="8" customFormat="false" ht="15" hidden="false" customHeight="false" outlineLevel="0" collapsed="false">
      <c r="A8" s="6" t="s">
        <v>9</v>
      </c>
      <c r="B8" s="6" t="s">
        <v>10</v>
      </c>
      <c r="C8" s="8" t="n">
        <v>15000000</v>
      </c>
    </row>
    <row r="9" customFormat="false" ht="15" hidden="false" customHeight="false" outlineLevel="0" collapsed="false">
      <c r="A9" s="6" t="s">
        <v>11</v>
      </c>
      <c r="B9" s="6" t="s">
        <v>12</v>
      </c>
      <c r="C9" s="8" t="n">
        <v>1100000</v>
      </c>
    </row>
    <row r="10" customFormat="false" ht="15" hidden="false" customHeight="false" outlineLevel="0" collapsed="false">
      <c r="A10" s="9" t="s">
        <v>13</v>
      </c>
      <c r="B10" s="10"/>
      <c r="C10" s="11" t="n">
        <f aca="false">SUM(C7:C9)</f>
        <v>42653750</v>
      </c>
    </row>
    <row r="12" customFormat="false" ht="15" hidden="false" customHeight="false" outlineLevel="0" collapsed="false">
      <c r="A12" s="4" t="s">
        <v>14</v>
      </c>
    </row>
    <row r="13" customFormat="false" ht="15" hidden="false" customHeight="false" outlineLevel="0" collapsed="false">
      <c r="A13" s="5" t="s">
        <v>15</v>
      </c>
      <c r="B13" s="5" t="s">
        <v>16</v>
      </c>
      <c r="C13" s="5" t="s">
        <v>6</v>
      </c>
    </row>
    <row r="14" customFormat="false" ht="15" hidden="false" customHeight="false" outlineLevel="0" collapsed="false">
      <c r="A14" s="6" t="s">
        <v>17</v>
      </c>
      <c r="B14" s="6" t="s">
        <v>18</v>
      </c>
      <c r="C14" s="7" t="n">
        <f aca="false">C28-C29</f>
        <v>33750000</v>
      </c>
    </row>
    <row r="15" customFormat="false" ht="15" hidden="false" customHeight="false" outlineLevel="0" collapsed="false">
      <c r="A15" s="6" t="s">
        <v>19</v>
      </c>
      <c r="B15" s="6" t="s">
        <v>20</v>
      </c>
      <c r="C15" s="8" t="n">
        <v>2000000</v>
      </c>
    </row>
    <row r="16" customFormat="false" ht="15" hidden="false" customHeight="false" outlineLevel="0" collapsed="false">
      <c r="A16" s="6" t="s">
        <v>21</v>
      </c>
      <c r="B16" s="6" t="s">
        <v>22</v>
      </c>
      <c r="C16" s="8" t="n">
        <v>5700000</v>
      </c>
    </row>
    <row r="17" customFormat="false" ht="15" hidden="false" customHeight="false" outlineLevel="0" collapsed="false">
      <c r="A17" s="6" t="s">
        <v>23</v>
      </c>
      <c r="B17" s="6" t="s">
        <v>24</v>
      </c>
      <c r="C17" s="8" t="n">
        <v>385000</v>
      </c>
    </row>
    <row r="18" customFormat="false" ht="15" hidden="false" customHeight="false" outlineLevel="0" collapsed="false">
      <c r="A18" s="6" t="s">
        <v>25</v>
      </c>
      <c r="B18" s="6" t="s">
        <v>26</v>
      </c>
      <c r="C18" s="8" t="n">
        <v>250000</v>
      </c>
    </row>
    <row r="19" customFormat="false" ht="15" hidden="false" customHeight="false" outlineLevel="0" collapsed="false">
      <c r="A19" s="6" t="s">
        <v>27</v>
      </c>
      <c r="B19" s="6" t="s">
        <v>28</v>
      </c>
      <c r="C19" s="7" t="n">
        <f aca="false">ROUND(0.005*C28,0)</f>
        <v>178750</v>
      </c>
    </row>
    <row r="20" customFormat="false" ht="15" hidden="false" customHeight="false" outlineLevel="0" collapsed="false">
      <c r="A20" s="6" t="s">
        <v>29</v>
      </c>
      <c r="B20" s="6" t="s">
        <v>10</v>
      </c>
      <c r="C20" s="8" t="n">
        <v>225000</v>
      </c>
    </row>
    <row r="21" customFormat="false" ht="15" hidden="false" customHeight="false" outlineLevel="0" collapsed="false">
      <c r="A21" s="6" t="s">
        <v>30</v>
      </c>
      <c r="B21" s="6" t="s">
        <v>31</v>
      </c>
      <c r="C21" s="8" t="n">
        <v>165000</v>
      </c>
    </row>
    <row r="22" customFormat="false" ht="15" hidden="false" customHeight="false" outlineLevel="0" collapsed="false">
      <c r="A22" s="9" t="s">
        <v>32</v>
      </c>
      <c r="B22" s="10"/>
      <c r="C22" s="11" t="n">
        <f aca="false">SUM(C14:C21)</f>
        <v>42653750</v>
      </c>
    </row>
    <row r="24" customFormat="false" ht="15" hidden="false" customHeight="false" outlineLevel="0" collapsed="false">
      <c r="A24" s="12" t="s">
        <v>33</v>
      </c>
      <c r="C24" s="13" t="n">
        <f aca="false">C10-C22</f>
        <v>0</v>
      </c>
    </row>
    <row r="26" customFormat="false" ht="15" hidden="false" customHeight="false" outlineLevel="0" collapsed="false">
      <c r="A26" s="12" t="s">
        <v>34</v>
      </c>
    </row>
    <row r="27" customFormat="false" ht="15" hidden="false" customHeight="false" outlineLevel="0" collapsed="false">
      <c r="A27" s="5" t="s">
        <v>35</v>
      </c>
      <c r="B27" s="14"/>
      <c r="C27" s="5" t="s">
        <v>6</v>
      </c>
    </row>
    <row r="28" customFormat="false" ht="15" hidden="false" customHeight="false" outlineLevel="0" collapsed="false">
      <c r="A28" s="6" t="s">
        <v>36</v>
      </c>
      <c r="B28" s="15"/>
      <c r="C28" s="8" t="n">
        <v>35750000</v>
      </c>
    </row>
    <row r="29" customFormat="false" ht="15" hidden="false" customHeight="false" outlineLevel="0" collapsed="false">
      <c r="A29" s="6" t="s">
        <v>37</v>
      </c>
      <c r="B29" s="15"/>
      <c r="C29" s="8" t="n">
        <v>2000000</v>
      </c>
    </row>
    <row r="30" customFormat="false" ht="15" hidden="false" customHeight="false" outlineLevel="0" collapsed="false">
      <c r="A30" s="6" t="s">
        <v>38</v>
      </c>
      <c r="B30" s="15"/>
      <c r="C30" s="8" t="n">
        <v>3000000</v>
      </c>
    </row>
    <row r="31" customFormat="false" ht="15" hidden="false" customHeight="false" outlineLevel="0" collapsed="false">
      <c r="A31" s="6" t="s">
        <v>39</v>
      </c>
      <c r="B31" s="15"/>
      <c r="C31" s="8" t="n">
        <v>38750000</v>
      </c>
    </row>
    <row r="32" customFormat="false" ht="15" hidden="false" customHeight="false" outlineLevel="0" collapsed="false">
      <c r="A32" s="6" t="s">
        <v>40</v>
      </c>
      <c r="B32" s="15"/>
      <c r="C32" s="8" t="n">
        <v>42500000</v>
      </c>
    </row>
    <row r="34" customFormat="false" ht="15" hidden="false" customHeight="false" outlineLevel="0" collapsed="false">
      <c r="A34" s="16" t="s">
        <v>41</v>
      </c>
      <c r="C34" s="17" t="str">
        <f aca="false">IF(ROUND((C14)+(C15)-C28,0)=0,"OK","CHECK")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2026-06-29T22:57:51Z</dcterms:created>
  <dc:creator>openpyxl</dc:creator>
  <dc:description/>
  <dc:language>en-US</dc:language>
  <cp:lastModifiedBy/>
  <dcterms:modified xsi:type="dcterms:W3CDTF">2026-06-29T22:57:51Z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