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<sst xmlns="http://schemas.openxmlformats.org/spreadsheetml/2006/main" count="41" uniqueCount="35">
  <si>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Project Quartz — Velloran Hygiene Limited</t>
  </si>
  <si>
    <t xml:space="preserve">Capitalisation table &amp; consideration allocation</t>
  </si>
  <si>
    <t xml:space="preserve">All figures in £ unless stated. Source: SPA (Schedule 1) and funds flow, 27 Feb 2026.</t>
  </si>
  <si>
    <t xml:space="preserve">Pre-completion capitalisation</t>
  </si>
  <si>
    <t xml:space="preserve">Shareholder</t>
  </si>
  <si>
    <t xml:space="preserve">Class</t>
  </si>
  <si>
    <t xml:space="preserve">Shares</t>
  </si>
  <si>
    <t xml:space="preserve">% holding</t>
  </si>
  <si>
    <t xml:space="preserve">Geoffrey Velloran</t>
  </si>
  <si>
    <t xml:space="preserve">Ordinary £1</t>
  </si>
  <si>
    <t xml:space="preserve">Patricia Velloran</t>
  </si>
  <si>
    <t xml:space="preserve">Aldermarsh Nominees Limited</t>
  </si>
  <si>
    <t xml:space="preserve">Total issued share capital</t>
  </si>
  <si>
    <t xml:space="preserve">Enterprise value to equity value bridge</t>
  </si>
  <si>
    <t xml:space="preserve">Item</t>
  </si>
  <si>
    <t xml:space="preserve">£</t>
  </si>
  <si>
    <t xml:space="preserve">Enterprise Value (agreed)</t>
  </si>
  <si>
    <t xml:space="preserve">add: Cash at completion (est.)</t>
  </si>
  <si>
    <t xml:space="preserve">less: Debt at completion (est.)</t>
  </si>
  <si>
    <t xml:space="preserve">Working capital adjustment (Actual vs Target £4,100,000)</t>
  </si>
  <si>
    <t xml:space="preserve">Equity Value</t>
  </si>
  <si>
    <t xml:space="preserve">Consideration allocation by seller</t>
  </si>
  <si>
    <t xml:space="preserve">Seller</t>
  </si>
  <si>
    <t xml:space="preserve">% of equity</t>
  </si>
  <si>
    <t xml:space="preserve">Equity Value share</t>
  </si>
  <si>
    <t xml:space="preserve">Initial cash share</t>
  </si>
  <si>
    <t xml:space="preserve">Deferred share</t>
  </si>
  <si>
    <t xml:space="preserve">Total</t>
  </si>
  <si>
    <t xml:space="preserve">Consideration components</t>
  </si>
  <si>
    <t xml:space="preserve">Amount (£)</t>
  </si>
  <si>
    <t xml:space="preserve">Initial Cash Consideration</t>
  </si>
  <si>
    <t xml:space="preserve">Deferred Consideration (1st anniversary)</t>
  </si>
  <si>
    <t xml:space="preserve">of which: Retention (18 months)</t>
  </si>
  <si>
    <t xml:space="preserve">Net cash to sellers at completion</t>
  </si>
  <si>
    <t xml:space="preserve">Check: Initial Cash + Deferred = Equity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</si>
</sst>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£#,##0;&quot;(£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15" hidden="false" customHeight="false" outlineLevel="0" collapsed="false">
      <c r="A7" s="6" t="s">
        <v>8</v>
      </c>
      <c r="B7" s="6" t="s">
        <v>9</v>
      </c>
      <c r="C7" s="7" t="n">
        <v>480000</v>
      </c>
      <c r="D7" s="8" t="n">
        <f aca="false">C7/$C$10</f>
        <v>0.48</v>
      </c>
    </row>
    <row r="8" customFormat="false" ht="15" hidden="false" customHeight="false" outlineLevel="0" collapsed="false">
      <c r="A8" s="6" t="s">
        <v>10</v>
      </c>
      <c r="B8" s="6" t="s">
        <v>9</v>
      </c>
      <c r="C8" s="7" t="n">
        <v>320000</v>
      </c>
      <c r="D8" s="8" t="n">
        <f aca="false">C8/$C$10</f>
        <v>0.32</v>
      </c>
    </row>
    <row r="9" customFormat="false" ht="15" hidden="false" customHeight="false" outlineLevel="0" collapsed="false">
      <c r="A9" s="6" t="s">
        <v>11</v>
      </c>
      <c r="B9" s="6" t="s">
        <v>9</v>
      </c>
      <c r="C9" s="7" t="n">
        <v>200000</v>
      </c>
      <c r="D9" s="8" t="n">
        <f aca="false">C9/$C$10</f>
        <v>0.2</v>
      </c>
    </row>
    <row r="10" customFormat="false" ht="15" hidden="false" customHeight="false" outlineLevel="0" collapsed="false">
      <c r="A10" s="9" t="s">
        <v>12</v>
      </c>
      <c r="B10" s="10"/>
      <c r="C10" s="11" t="n">
        <f aca="false">SUM(C7:C9)</f>
        <v>1000000</v>
      </c>
      <c r="D10" s="12" t="n">
        <f aca="false">SUM(D7:D9)</f>
        <v>1</v>
      </c>
    </row>
    <row r="12" customFormat="false" ht="15" hidden="false" customHeight="false" outlineLevel="0" collapsed="false">
      <c r="A12" s="4" t="s">
        <v>13</v>
      </c>
    </row>
    <row r="13" customFormat="false" ht="15" hidden="false" customHeight="false" outlineLevel="0" collapsed="false">
      <c r="A13" s="5" t="s">
        <v>14</v>
      </c>
      <c r="B13" s="5" t="s">
        <v>15</v>
      </c>
    </row>
    <row r="14" customFormat="false" ht="15" hidden="false" customHeight="false" outlineLevel="0" collapsed="false">
      <c r="A14" s="6" t="s">
        <v>16</v>
      </c>
      <c r="B14" s="13" t="n">
        <v>42500000</v>
      </c>
    </row>
    <row r="15" customFormat="false" ht="15" hidden="false" customHeight="false" outlineLevel="0" collapsed="false">
      <c r="A15" s="6" t="s">
        <v>17</v>
      </c>
      <c r="B15" s="13" t="n">
        <v>1950000</v>
      </c>
    </row>
    <row r="16" customFormat="false" ht="15" hidden="false" customHeight="false" outlineLevel="0" collapsed="false">
      <c r="A16" s="6" t="s">
        <v>18</v>
      </c>
      <c r="B16" s="13" t="n">
        <v>-5700000</v>
      </c>
    </row>
    <row r="17" customFormat="false" ht="15" hidden="false" customHeight="false" outlineLevel="0" collapsed="false">
      <c r="A17" s="6" t="s">
        <v>19</v>
      </c>
      <c r="B17" s="13" t="n">
        <v>0</v>
      </c>
    </row>
    <row r="18" customFormat="false" ht="15" hidden="false" customHeight="false" outlineLevel="0" collapsed="false">
      <c r="A18" s="9" t="s">
        <v>20</v>
      </c>
      <c r="B18" s="14" t="n">
        <f aca="false">SUM(B14:B17)</f>
        <v>38750000</v>
      </c>
    </row>
    <row r="20" customFormat="false" ht="15" hidden="false" customHeight="false" outlineLevel="0" collapsed="false">
      <c r="A20" s="4" t="s">
        <v>21</v>
      </c>
    </row>
    <row r="21" customFormat="false" ht="15" hidden="false" customHeight="false" outlineLevel="0" collapsed="false">
      <c r="A21" s="5" t="s">
        <v>22</v>
      </c>
      <c r="B21" s="5" t="s">
        <v>23</v>
      </c>
      <c r="C21" s="5" t="s">
        <v>24</v>
      </c>
      <c r="D21" s="5" t="s">
        <v>25</v>
      </c>
      <c r="E21" s="5" t="s">
        <v>26</v>
      </c>
    </row>
    <row r="22" customFormat="false" ht="15" hidden="false" customHeight="false" outlineLevel="0" collapsed="false">
      <c r="A22" s="6" t="s">
        <v>8</v>
      </c>
      <c r="B22" s="8" t="n">
        <f aca="false">D7</f>
        <v>0.48</v>
      </c>
      <c r="C22" s="15" t="n">
        <f aca="false">B22*$B$18</f>
        <v>18600000</v>
      </c>
      <c r="D22" s="15" t="n">
        <f aca="false">B22*$B$29</f>
        <v>17160000</v>
      </c>
      <c r="E22" s="15" t="n">
        <f aca="false">B22*$B$30</f>
        <v>1440000</v>
      </c>
    </row>
    <row r="23" customFormat="false" ht="15" hidden="false" customHeight="false" outlineLevel="0" collapsed="false">
      <c r="A23" s="6" t="s">
        <v>10</v>
      </c>
      <c r="B23" s="8" t="n">
        <f aca="false">D8</f>
        <v>0.32</v>
      </c>
      <c r="C23" s="15" t="n">
        <f aca="false">B23*$B$18</f>
        <v>12400000</v>
      </c>
      <c r="D23" s="15" t="n">
        <f aca="false">B23*$B$29</f>
        <v>11440000</v>
      </c>
      <c r="E23" s="15" t="n">
        <f aca="false">B23*$B$30</f>
        <v>960000</v>
      </c>
    </row>
    <row r="24" customFormat="false" ht="15" hidden="false" customHeight="false" outlineLevel="0" collapsed="false">
      <c r="A24" s="6" t="s">
        <v>11</v>
      </c>
      <c r="B24" s="8" t="n">
        <f aca="false">D9</f>
        <v>0.2</v>
      </c>
      <c r="C24" s="15" t="n">
        <f aca="false">B24*$B$18</f>
        <v>7750000</v>
      </c>
      <c r="D24" s="15" t="n">
        <f aca="false">B24*$B$29</f>
        <v>7150000</v>
      </c>
      <c r="E24" s="15" t="n">
        <f aca="false">B24*$B$30</f>
        <v>600000</v>
      </c>
    </row>
    <row r="25" customFormat="false" ht="15" hidden="false" customHeight="false" outlineLevel="0" collapsed="false">
      <c r="A25" s="9" t="s">
        <v>27</v>
      </c>
      <c r="B25" s="12" t="n">
        <f aca="false">SUM(B22:B24)</f>
        <v>1</v>
      </c>
      <c r="C25" s="14" t="n">
        <f aca="false">SUM(C22:C24)</f>
        <v>38750000</v>
      </c>
      <c r="D25" s="14" t="n">
        <f aca="false">SUM(D22:D24)</f>
        <v>35750000</v>
      </c>
      <c r="E25" s="14" t="n">
        <f aca="false">SUM(E22:E24)</f>
        <v>3000000</v>
      </c>
    </row>
    <row r="27" customFormat="false" ht="15" hidden="false" customHeight="false" outlineLevel="0" collapsed="false">
      <c r="A27" s="4" t="s">
        <v>28</v>
      </c>
      <c r="D27" s="4" t="s">
        <v>29</v>
      </c>
    </row>
    <row r="28" customFormat="false" ht="15" hidden="false" customHeight="false" outlineLevel="0" collapsed="false">
      <c r="A28" s="6" t="s">
        <v>20</v>
      </c>
      <c r="B28" s="15" t="n">
        <f aca="false">B18</f>
        <v>38750000</v>
      </c>
    </row>
    <row r="29" customFormat="false" ht="15" hidden="false" customHeight="false" outlineLevel="0" collapsed="false">
      <c r="A29" s="6" t="s">
        <v>30</v>
      </c>
      <c r="B29" s="13" t="n">
        <v>35750000</v>
      </c>
    </row>
    <row r="30" customFormat="false" ht="15" hidden="false" customHeight="false" outlineLevel="0" collapsed="false">
      <c r="A30" s="6" t="s">
        <v>31</v>
      </c>
      <c r="B30" s="13" t="n">
        <v>3000000</v>
      </c>
    </row>
    <row r="31" customFormat="false" ht="15" hidden="false" customHeight="false" outlineLevel="0" collapsed="false">
      <c r="A31" s="6" t="s">
        <v>32</v>
      </c>
      <c r="B31" s="13" t="n">
        <v>2000000</v>
      </c>
    </row>
    <row r="32" customFormat="false" ht="15" hidden="false" customHeight="false" outlineLevel="0" collapsed="false">
      <c r="A32" s="6" t="s">
        <v>33</v>
      </c>
      <c r="B32" s="15" t="n">
        <f aca="false">B29-B31</f>
        <v>33750000</v>
      </c>
    </row>
    <row r="34" customFormat="false" ht="15" hidden="false" customHeight="false" outlineLevel="0" collapsed="false">
      <c r="A34" s="16" t="s">
        <v>34</v>
      </c>
      <c r="B34" s="17" t="str">
        <f aca="false">IF(ROUND(B29+B30-B18,0)=0,"OK","CHECK")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2026-06-29T22:57:51Z</dcterms:created>
  <dc:creator>openpyxl</dc:creator>
  <dc:description/>
  <dc:language>en-US</dc:language>
  <cp:lastModifiedBy/>
  <dcterms:modified xsi:type="dcterms:W3CDTF">2026-06-29T22:57:51Z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