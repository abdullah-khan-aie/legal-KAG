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£#,##0.00"/>
  </numFmts>
  <fonts count="6">
    <font>
      <name val="Calibri"/>
      <family val="2"/>
      <color theme="1"/>
      <sz val="11"/>
      <scheme val="minor"/>
    </font>
    <font>
      <b val="1"/>
      <color rgb="002E4B7B"/>
      <sz val="14"/>
    </font>
    <font>
      <i val="1"/>
      <sz val="10"/>
    </font>
    <font>
      <color rgb="00555555"/>
      <sz val="9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B7B"/>
      </patternFill>
    </fill>
    <fill>
      <patternFill patternType="solid">
        <fgColor rgb="00E8ECF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Aldermore Robotics Limited — Project Drake</t>
        </is>
      </c>
    </row>
    <row r="2">
      <c r="A2" s="2" t="inlineStr">
        <is>
          <t>Series B Capitalisation Table — Pre-Money and Post-Money (fully diluted)</t>
        </is>
      </c>
    </row>
    <row r="3">
      <c r="A3" s="3" t="inlineStr">
        <is>
          <t>Issue price £8.00 / share  •  Pre-money £52.0m  •  New money £18.0m  •  Post-money £70.0m</t>
        </is>
      </c>
    </row>
    <row r="5">
      <c r="A5" s="4" t="inlineStr">
        <is>
          <t>PRE-MONEY (immediately before Completion)</t>
        </is>
      </c>
    </row>
    <row r="6">
      <c r="A6" s="5" t="inlineStr">
        <is>
          <t>Shareholder</t>
        </is>
      </c>
      <c r="B6" s="5" t="inlineStr">
        <is>
          <t>Class</t>
        </is>
      </c>
      <c r="C6" s="5" t="inlineStr">
        <is>
          <t>Shares</t>
        </is>
      </c>
      <c r="D6" s="5" t="inlineStr">
        <is>
          <t>% (FD)</t>
        </is>
      </c>
      <c r="E6" s="5" t="inlineStr">
        <is>
          <t>Price/share (£)</t>
        </is>
      </c>
      <c r="F6" s="5" t="inlineStr">
        <is>
          <t>Value (£)</t>
        </is>
      </c>
    </row>
    <row r="7">
      <c r="A7" s="6" t="inlineStr">
        <is>
          <t>James Hartlow</t>
        </is>
      </c>
      <c r="B7" s="6" t="inlineStr">
        <is>
          <t>Ordinary</t>
        </is>
      </c>
      <c r="C7" s="7" t="n">
        <v>1800000</v>
      </c>
      <c r="D7" s="8">
        <f>C7/$C$14</f>
        <v/>
      </c>
      <c r="E7" s="9" t="n">
        <v>8</v>
      </c>
      <c r="F7" s="7">
        <f>C7*E7</f>
        <v/>
      </c>
    </row>
    <row r="8">
      <c r="A8" s="6" t="inlineStr">
        <is>
          <t>Dr Anika Sørensen</t>
        </is>
      </c>
      <c r="B8" s="6" t="inlineStr">
        <is>
          <t>Ordinary</t>
        </is>
      </c>
      <c r="C8" s="7" t="n">
        <v>1400000</v>
      </c>
      <c r="D8" s="8">
        <f>C8/$C$14</f>
        <v/>
      </c>
      <c r="E8" s="9" t="n">
        <v>8</v>
      </c>
      <c r="F8" s="7">
        <f>C8*E8</f>
        <v/>
      </c>
    </row>
    <row r="9">
      <c r="A9" s="6" t="inlineStr">
        <is>
          <t>Employee / seed holders</t>
        </is>
      </c>
      <c r="B9" s="6" t="inlineStr">
        <is>
          <t>Ordinary</t>
        </is>
      </c>
      <c r="C9" s="7" t="n">
        <v>1050000</v>
      </c>
      <c r="D9" s="8">
        <f>C9/$C$14</f>
        <v/>
      </c>
      <c r="E9" s="9" t="n">
        <v>8</v>
      </c>
      <c r="F9" s="7">
        <f>C9*E9</f>
        <v/>
      </c>
    </row>
    <row r="10">
      <c r="A10" s="6" t="inlineStr">
        <is>
          <t>Aldridge Seed LP</t>
        </is>
      </c>
      <c r="B10" s="6" t="inlineStr">
        <is>
          <t>Series A</t>
        </is>
      </c>
      <c r="C10" s="7" t="n">
        <v>900000</v>
      </c>
      <c r="D10" s="8">
        <f>C10/$C$14</f>
        <v/>
      </c>
      <c r="E10" s="9" t="n">
        <v>8</v>
      </c>
      <c r="F10" s="7">
        <f>C10*E10</f>
        <v/>
      </c>
    </row>
    <row r="11">
      <c r="A11" s="6" t="inlineStr">
        <is>
          <t>Northstar Angels Syndicate</t>
        </is>
      </c>
      <c r="B11" s="6" t="inlineStr">
        <is>
          <t>Series A</t>
        </is>
      </c>
      <c r="C11" s="7" t="n">
        <v>450000</v>
      </c>
      <c r="D11" s="8">
        <f>C11/$C$14</f>
        <v/>
      </c>
      <c r="E11" s="9" t="n">
        <v>8</v>
      </c>
      <c r="F11" s="7">
        <f>C11*E11</f>
        <v/>
      </c>
    </row>
    <row r="12">
      <c r="A12" s="6" t="inlineStr">
        <is>
          <t>Other Series A holders</t>
        </is>
      </c>
      <c r="B12" s="6" t="inlineStr">
        <is>
          <t>Series A</t>
        </is>
      </c>
      <c r="C12" s="7" t="n">
        <v>300000</v>
      </c>
      <c r="D12" s="8">
        <f>C12/$C$14</f>
        <v/>
      </c>
      <c r="E12" s="9" t="n">
        <v>8</v>
      </c>
      <c r="F12" s="7">
        <f>C12*E12</f>
        <v/>
      </c>
    </row>
    <row r="13">
      <c r="A13" s="6" t="inlineStr">
        <is>
          <t>Option pool (granted)</t>
        </is>
      </c>
      <c r="B13" s="6" t="inlineStr">
        <is>
          <t>Options</t>
        </is>
      </c>
      <c r="C13" s="7" t="n">
        <v>600000</v>
      </c>
      <c r="D13" s="8">
        <f>C13/$C$14</f>
        <v/>
      </c>
      <c r="E13" s="9" t="n">
        <v>8</v>
      </c>
      <c r="F13" s="7">
        <f>C13*E13</f>
        <v/>
      </c>
    </row>
    <row r="14">
      <c r="A14" s="10" t="inlineStr">
        <is>
          <t>Total pre-money (FD)</t>
        </is>
      </c>
      <c r="B14" s="11" t="n"/>
      <c r="C14" s="12">
        <f>SUM(C7:C13)</f>
        <v/>
      </c>
      <c r="D14" s="13">
        <f>SUM(D7:D13)</f>
        <v/>
      </c>
      <c r="E14" s="11" t="n"/>
      <c r="F14" s="12">
        <f>SUM(F7:F13)</f>
        <v/>
      </c>
    </row>
    <row r="16">
      <c r="A16" s="4" t="inlineStr">
        <is>
          <t>POST-MONEY (immediately after Completion)</t>
        </is>
      </c>
    </row>
    <row r="17">
      <c r="A17" s="5" t="inlineStr">
        <is>
          <t>Shareholder</t>
        </is>
      </c>
      <c r="B17" s="5" t="inlineStr">
        <is>
          <t>Class</t>
        </is>
      </c>
      <c r="C17" s="5" t="inlineStr">
        <is>
          <t>Shares</t>
        </is>
      </c>
      <c r="D17" s="5" t="inlineStr">
        <is>
          <t>% (FD)</t>
        </is>
      </c>
      <c r="E17" s="5" t="inlineStr">
        <is>
          <t>Price/share (£)</t>
        </is>
      </c>
      <c r="F17" s="5" t="inlineStr">
        <is>
          <t>Value (£)</t>
        </is>
      </c>
    </row>
    <row r="18">
      <c r="A18" s="6" t="inlineStr">
        <is>
          <t>James Hartlow</t>
        </is>
      </c>
      <c r="B18" s="6" t="inlineStr">
        <is>
          <t>Ordinary</t>
        </is>
      </c>
      <c r="C18" s="7" t="n">
        <v>1800000</v>
      </c>
      <c r="D18" s="8">
        <f>C18/$C$29</f>
        <v/>
      </c>
      <c r="E18" s="9" t="n">
        <v>8</v>
      </c>
      <c r="F18" s="7">
        <f>C18*E18</f>
        <v/>
      </c>
    </row>
    <row r="19">
      <c r="A19" s="6" t="inlineStr">
        <is>
          <t>Dr Anika Sørensen</t>
        </is>
      </c>
      <c r="B19" s="6" t="inlineStr">
        <is>
          <t>Ordinary</t>
        </is>
      </c>
      <c r="C19" s="7" t="n">
        <v>1400000</v>
      </c>
      <c r="D19" s="8">
        <f>C19/$C$29</f>
        <v/>
      </c>
      <c r="E19" s="9" t="n">
        <v>8</v>
      </c>
      <c r="F19" s="7">
        <f>C19*E19</f>
        <v/>
      </c>
    </row>
    <row r="20">
      <c r="A20" s="6" t="inlineStr">
        <is>
          <t>Employee / seed holders</t>
        </is>
      </c>
      <c r="B20" s="6" t="inlineStr">
        <is>
          <t>Ordinary</t>
        </is>
      </c>
      <c r="C20" s="7" t="n">
        <v>1050000</v>
      </c>
      <c r="D20" s="8">
        <f>C20/$C$29</f>
        <v/>
      </c>
      <c r="E20" s="9" t="n">
        <v>8</v>
      </c>
      <c r="F20" s="7">
        <f>C20*E20</f>
        <v/>
      </c>
    </row>
    <row r="21">
      <c r="A21" s="6" t="inlineStr">
        <is>
          <t>Aldridge Seed LP</t>
        </is>
      </c>
      <c r="B21" s="6" t="inlineStr">
        <is>
          <t>Series A</t>
        </is>
      </c>
      <c r="C21" s="7" t="n">
        <v>900000</v>
      </c>
      <c r="D21" s="8">
        <f>C21/$C$29</f>
        <v/>
      </c>
      <c r="E21" s="9" t="n">
        <v>8</v>
      </c>
      <c r="F21" s="7">
        <f>C21*E21</f>
        <v/>
      </c>
    </row>
    <row r="22">
      <c r="A22" s="6" t="inlineStr">
        <is>
          <t>Northstar Angels Syndicate</t>
        </is>
      </c>
      <c r="B22" s="6" t="inlineStr">
        <is>
          <t>Series A</t>
        </is>
      </c>
      <c r="C22" s="7" t="n">
        <v>450000</v>
      </c>
      <c r="D22" s="8">
        <f>C22/$C$29</f>
        <v/>
      </c>
      <c r="E22" s="9" t="n">
        <v>8</v>
      </c>
      <c r="F22" s="7">
        <f>C22*E22</f>
        <v/>
      </c>
    </row>
    <row r="23">
      <c r="A23" s="6" t="inlineStr">
        <is>
          <t>Other Series A holders</t>
        </is>
      </c>
      <c r="B23" s="6" t="inlineStr">
        <is>
          <t>Series A</t>
        </is>
      </c>
      <c r="C23" s="7" t="n">
        <v>300000</v>
      </c>
      <c r="D23" s="8">
        <f>C23/$C$29</f>
        <v/>
      </c>
      <c r="E23" s="9" t="n">
        <v>8</v>
      </c>
      <c r="F23" s="7">
        <f>C23*E23</f>
        <v/>
      </c>
    </row>
    <row r="24">
      <c r="A24" s="6" t="inlineStr">
        <is>
          <t>Westgate Growth Fund III LP</t>
        </is>
      </c>
      <c r="B24" s="6" t="inlineStr">
        <is>
          <t>Series B</t>
        </is>
      </c>
      <c r="C24" s="7" t="n">
        <v>1875000</v>
      </c>
      <c r="D24" s="8">
        <f>C24/$C$29</f>
        <v/>
      </c>
      <c r="E24" s="9" t="n">
        <v>8</v>
      </c>
      <c r="F24" s="7">
        <f>C24*E24</f>
        <v/>
      </c>
    </row>
    <row r="25">
      <c r="A25" s="6" t="inlineStr">
        <is>
          <t>Aldridge Seed LP</t>
        </is>
      </c>
      <c r="B25" s="6" t="inlineStr">
        <is>
          <t>Series B</t>
        </is>
      </c>
      <c r="C25" s="7" t="n">
        <v>187500</v>
      </c>
      <c r="D25" s="8">
        <f>C25/$C$29</f>
        <v/>
      </c>
      <c r="E25" s="9" t="n">
        <v>8</v>
      </c>
      <c r="F25" s="7">
        <f>C25*E25</f>
        <v/>
      </c>
    </row>
    <row r="26">
      <c r="A26" s="6" t="inlineStr">
        <is>
          <t>Northstar Angels Syndicate</t>
        </is>
      </c>
      <c r="B26" s="6" t="inlineStr">
        <is>
          <t>Series B</t>
        </is>
      </c>
      <c r="C26" s="7" t="n">
        <v>125000</v>
      </c>
      <c r="D26" s="8">
        <f>C26/$C$29</f>
        <v/>
      </c>
      <c r="E26" s="9" t="n">
        <v>8</v>
      </c>
      <c r="F26" s="7">
        <f>C26*E26</f>
        <v/>
      </c>
    </row>
    <row r="27">
      <c r="A27" s="6" t="inlineStr">
        <is>
          <t>Existing Series A (pre-emption)</t>
        </is>
      </c>
      <c r="B27" s="6" t="inlineStr">
        <is>
          <t>Series B</t>
        </is>
      </c>
      <c r="C27" s="7" t="n">
        <v>62500</v>
      </c>
      <c r="D27" s="8">
        <f>C27/$C$29</f>
        <v/>
      </c>
      <c r="E27" s="9" t="n">
        <v>8</v>
      </c>
      <c r="F27" s="7">
        <f>C27*E27</f>
        <v/>
      </c>
    </row>
    <row r="28">
      <c r="A28" s="6" t="inlineStr">
        <is>
          <t>Option pool (enlarged, 12%)</t>
        </is>
      </c>
      <c r="B28" s="6" t="inlineStr">
        <is>
          <t>Options</t>
        </is>
      </c>
      <c r="C28" s="7" t="n">
        <v>1260000</v>
      </c>
      <c r="D28" s="8">
        <f>C28/$C$29</f>
        <v/>
      </c>
      <c r="E28" s="9" t="n">
        <v>8</v>
      </c>
      <c r="F28" s="7">
        <f>C28*E28</f>
        <v/>
      </c>
    </row>
    <row r="29">
      <c r="A29" s="10" t="inlineStr">
        <is>
          <t>Total post-money (FD)</t>
        </is>
      </c>
      <c r="B29" s="11" t="n"/>
      <c r="C29" s="12">
        <f>SUM(C18:C28)</f>
        <v/>
      </c>
      <c r="D29" s="13">
        <f>SUM(D18:D28)</f>
        <v/>
      </c>
      <c r="E29" s="11" t="n"/>
      <c r="F29" s="12">
        <f>SUM(F18:F28)</f>
        <v/>
      </c>
    </row>
    <row r="31">
      <c r="A31" s="4" t="inlineStr">
        <is>
          <t>New Series B money raised (£):</t>
        </is>
      </c>
      <c r="C31" s="14">
        <f>(C24+C25+C26+C27)*8</f>
        <v/>
      </c>
    </row>
    <row r="32">
      <c r="A32" s="4" t="inlineStr">
        <is>
          <t>Series B shares issued:</t>
        </is>
      </c>
      <c r="C32" s="14">
        <f>C24+C25+C26+C27</f>
        <v/>
      </c>
    </row>
    <row r="33">
      <c r="A33" s="4" t="inlineStr">
        <is>
          <t>Implied post-money valuation (£):</t>
        </is>
      </c>
      <c r="C33" s="14">
        <f>C29*8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2026-06-20T20:12:38Z</dcterms:created>
  <dcterms:modified xmlns:dcterms="http://purl.org/dc/terms/" xmlns:xsi="http://www.w3.org/2001/XMLSchema-instance" xsi:type="dcterms:W3CDTF">2026-06-20T20:12:38Z</dcterms:modified>
</cp:coreProperties>
</file>