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"/>
  </numFmts>
  <fonts count="6">
    <font>
      <name val="Calibri"/>
      <family val="2"/>
      <color theme="1"/>
      <sz val="11"/>
      <scheme val="minor"/>
    </font>
    <font>
      <b val="1"/>
      <color rgb="002E4B7B"/>
      <sz val="14"/>
    </font>
    <font>
      <i val="1"/>
      <sz val="10"/>
    </font>
    <font>
      <color rgb="00555555"/>
      <sz val="9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B7B"/>
      </patternFill>
    </fill>
    <fill>
      <patternFill patternType="solid">
        <fgColor rgb="00E8ECF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0" fontId="0" fillId="3" borderId="1" pivotButton="0" quotePrefix="0" xfId="0"/>
    <xf numFmtId="164" fontId="4" fillId="3" borderId="1" pivotButton="0" quotePrefix="0" xfId="0"/>
    <xf numFmtId="164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16" customWidth="1" min="3" max="3"/>
  </cols>
  <sheetData>
    <row r="1">
      <c r="A1" s="1" t="inlineStr">
        <is>
          <t>Aldermore Robotics Limited — Project Drake</t>
        </is>
      </c>
    </row>
    <row r="2">
      <c r="A2" s="2" t="inlineStr">
        <is>
          <t>Completion Funds Flow Statement — 31 October 2025</t>
        </is>
      </c>
    </row>
    <row r="3">
      <c r="A3" s="3" t="inlineStr">
        <is>
          <t>All amounts in GBP. Subscription monies to be paid to Whitfield Carter LLP client account.</t>
        </is>
      </c>
    </row>
    <row r="5">
      <c r="A5" s="4" t="inlineStr">
        <is>
          <t>SOURCES (subscription monies received)</t>
        </is>
      </c>
    </row>
    <row r="6">
      <c r="A6" s="5" t="inlineStr">
        <is>
          <t>Payer</t>
        </is>
      </c>
      <c r="B6" s="5" t="inlineStr">
        <is>
          <t>Reference</t>
        </is>
      </c>
      <c r="C6" s="5" t="inlineStr">
        <is>
          <t>Amount (£)</t>
        </is>
      </c>
    </row>
    <row r="7">
      <c r="A7" s="6" t="inlineStr">
        <is>
          <t>Westgate Growth Fund III LP</t>
        </is>
      </c>
      <c r="B7" s="6" t="inlineStr">
        <is>
          <t>WGF3-DRAKE-001</t>
        </is>
      </c>
      <c r="C7" s="7" t="n">
        <v>15000000</v>
      </c>
    </row>
    <row r="8">
      <c r="A8" s="6" t="inlineStr">
        <is>
          <t>Aldridge Seed LP (incl. CLN conversion)</t>
        </is>
      </c>
      <c r="B8" s="6" t="inlineStr">
        <is>
          <t>ASL-DRAKE-002</t>
        </is>
      </c>
      <c r="C8" s="7" t="n">
        <v>1500000</v>
      </c>
    </row>
    <row r="9">
      <c r="A9" s="6" t="inlineStr">
        <is>
          <t>Northstar Angels Syndicate</t>
        </is>
      </c>
      <c r="B9" s="6" t="inlineStr">
        <is>
          <t>NAS-DRAKE-003</t>
        </is>
      </c>
      <c r="C9" s="7" t="n">
        <v>1000000</v>
      </c>
    </row>
    <row r="10">
      <c r="A10" s="6" t="inlineStr">
        <is>
          <t>Existing Series A holders (pre-emption)</t>
        </is>
      </c>
      <c r="B10" s="6" t="inlineStr">
        <is>
          <t>SAH-DRAKE-004</t>
        </is>
      </c>
      <c r="C10" s="7" t="n">
        <v>500000</v>
      </c>
    </row>
    <row r="11">
      <c r="A11" s="8" t="inlineStr">
        <is>
          <t>Total sources</t>
        </is>
      </c>
      <c r="B11" s="9" t="n"/>
      <c r="C11" s="10">
        <f>SUM(C7:C10)</f>
        <v/>
      </c>
    </row>
    <row r="13">
      <c r="A13" s="4" t="inlineStr">
        <is>
          <t>USES (application at and following Completion)</t>
        </is>
      </c>
    </row>
    <row r="14">
      <c r="A14" s="5" t="inlineStr">
        <is>
          <t>Payee</t>
        </is>
      </c>
      <c r="B14" s="5" t="inlineStr">
        <is>
          <t>Purpose</t>
        </is>
      </c>
      <c r="C14" s="5" t="inlineStr">
        <is>
          <t>Amount (£)</t>
        </is>
      </c>
    </row>
    <row r="15">
      <c r="A15" s="6" t="inlineStr">
        <is>
          <t>Whitfield Carter LLP</t>
        </is>
      </c>
      <c r="B15" s="6" t="inlineStr">
        <is>
          <t>Investors' legal &amp; DD costs (capped, incl. VAT)</t>
        </is>
      </c>
      <c r="C15" s="7" t="n">
        <v>75000</v>
      </c>
    </row>
    <row r="16">
      <c r="A16" s="6" t="inlineStr">
        <is>
          <t>Whitfield Carter LLP</t>
        </is>
      </c>
      <c r="B16" s="6" t="inlineStr">
        <is>
          <t>Company's legal fees (incl. VAT)</t>
        </is>
      </c>
      <c r="C16" s="7" t="n">
        <v>96000</v>
      </c>
    </row>
    <row r="17">
      <c r="A17" s="6" t="inlineStr">
        <is>
          <t>Marlow Tax &amp; Advisory Ltd</t>
        </is>
      </c>
      <c r="B17" s="6" t="inlineStr">
        <is>
          <t>Financial &amp; tax due diligence (incl. VAT)</t>
        </is>
      </c>
      <c r="C17" s="7" t="n">
        <v>42000</v>
      </c>
    </row>
    <row r="18">
      <c r="A18" s="6" t="inlineStr">
        <is>
          <t>HM Land Registry / misc.</t>
        </is>
      </c>
      <c r="B18" s="6" t="inlineStr">
        <is>
          <t>Filing fees and disbursements</t>
        </is>
      </c>
      <c r="C18" s="7" t="n">
        <v>1500</v>
      </c>
    </row>
    <row r="19">
      <c r="A19" s="6" t="inlineStr">
        <is>
          <t>Aldermore Robotics Limited</t>
        </is>
      </c>
      <c r="B19" s="6" t="inlineStr">
        <is>
          <t>Net proceeds to Company (working capital)</t>
        </is>
      </c>
      <c r="C19" s="7">
        <f>C11-SUM(C15:C18)</f>
        <v/>
      </c>
    </row>
    <row r="20">
      <c r="A20" s="8" t="inlineStr">
        <is>
          <t>Total uses</t>
        </is>
      </c>
      <c r="B20" s="9" t="n"/>
      <c r="C20" s="10">
        <f>SUM(C15:C19)</f>
        <v/>
      </c>
    </row>
    <row r="22">
      <c r="A22" s="4" t="inlineStr">
        <is>
          <t>Reconciliation (Sources less Uses):</t>
        </is>
      </c>
      <c r="C22" s="11">
        <f>C11-C20</f>
        <v/>
      </c>
    </row>
    <row r="23">
      <c r="A23" s="4" t="inlineStr">
        <is>
          <t>Net proceeds to Company:</t>
        </is>
      </c>
      <c r="C23" s="12">
        <f>C19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2026-06-20T20:12:38Z</dcterms:created>
  <dcterms:modified xmlns:dcterms="http://purl.org/dc/terms/" xmlns:xsi="http://www.w3.org/2001/XMLSchema-instance" xsi:type="dcterms:W3CDTF">2026-06-20T20:12:38Z</dcterms:modified>
</cp:coreProperties>
</file>