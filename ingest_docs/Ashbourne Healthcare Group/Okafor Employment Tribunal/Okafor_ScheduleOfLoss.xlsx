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sz val="11"/>
    </font>
    <font>
      <i val="1"/>
      <color rgb="00595959"/>
      <sz val="9"/>
    </font>
    <font>
      <name val="Calibri"/>
      <b val="1"/>
      <color rgb="00FFFFFF"/>
      <sz val="11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2" borderId="1" pivotButton="0" quotePrefix="0" xfId="0"/>
    <xf numFmtId="164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20" customWidth="1" min="3" max="3"/>
    <col width="16" customWidth="1" min="4" max="4"/>
  </cols>
  <sheetData>
    <row r="1">
      <c r="A1" s="1" t="inlineStr">
        <is>
          <t>Okafor v Ashbourne Healthcare Group Limited — Case No. 2204417/2025</t>
        </is>
      </c>
    </row>
    <row r="2">
      <c r="A2" s="2" t="inlineStr">
        <is>
          <t>CLAIMANT'S SCHEDULE OF LOSS (served 11 April 2025)</t>
        </is>
      </c>
    </row>
    <row r="3">
      <c r="A3" s="3" t="inlineStr">
        <is>
          <t>Effective date of termination: 31 January 2025 | Gross annual salary: £92,000 + £7,200 car allowance | Net monthly pay: £5,140</t>
        </is>
      </c>
    </row>
    <row r="4">
      <c r="A4" s="3" t="inlineStr">
        <is>
          <t>Age at EDT: 47 | Continuous service: 6 complete years</t>
        </is>
      </c>
    </row>
    <row r="6">
      <c r="A6" s="4" t="inlineStr">
        <is>
          <t>Head of loss</t>
        </is>
      </c>
      <c r="B6" s="4" t="inlineStr">
        <is>
          <t>Basis of calculation</t>
        </is>
      </c>
      <c r="C6" s="4" t="inlineStr">
        <is>
          <t>Period / multiplier</t>
        </is>
      </c>
      <c r="D6" s="4" t="inlineStr">
        <is>
          <t>Amount (£)</t>
        </is>
      </c>
    </row>
    <row r="7">
      <c r="A7" s="5" t="inlineStr">
        <is>
          <t>A. BASIC AWARD</t>
        </is>
      </c>
      <c r="B7" s="5" t="n"/>
      <c r="C7" s="5" t="n"/>
      <c r="D7" s="5" t="n"/>
    </row>
    <row r="8">
      <c r="A8" s="6" t="inlineStr">
        <is>
          <t>Basic award (unfair dismissal)</t>
        </is>
      </c>
      <c r="B8" s="6" t="inlineStr">
        <is>
          <t>6 weeks x 1.5 (age 41+) x £719 statutory cap</t>
        </is>
      </c>
      <c r="C8" s="6" t="inlineStr">
        <is>
          <t>9 weeks gross</t>
        </is>
      </c>
      <c r="D8" s="7">
        <f>9*719</f>
        <v/>
      </c>
    </row>
    <row r="9">
      <c r="A9" s="6" t="inlineStr">
        <is>
          <t>less redundancy payment already received</t>
        </is>
      </c>
      <c r="B9" s="6" t="inlineStr">
        <is>
          <t>Statutory redundancy payment made on termination</t>
        </is>
      </c>
      <c r="C9" s="6" t="inlineStr"/>
      <c r="D9" s="7">
        <f>-9*719</f>
        <v/>
      </c>
    </row>
    <row r="10">
      <c r="A10" s="5" t="inlineStr">
        <is>
          <t>B. PAST LOSS OF EARNINGS</t>
        </is>
      </c>
      <c r="B10" s="5" t="n"/>
      <c r="C10" s="5" t="n"/>
      <c r="D10" s="5" t="n"/>
    </row>
    <row r="11">
      <c r="A11" s="6" t="inlineStr">
        <is>
          <t>Net loss of earnings to date of hearing</t>
        </is>
      </c>
      <c r="B11" s="6" t="inlineStr">
        <is>
          <t>Net £5,140/month, unemployed from 1 Feb 2025</t>
        </is>
      </c>
      <c r="C11" s="6" t="inlineStr">
        <is>
          <t>10.5 months</t>
        </is>
      </c>
      <c r="D11" s="7">
        <f>5140*10.5</f>
        <v/>
      </c>
    </row>
    <row r="12">
      <c r="A12" s="6" t="inlineStr">
        <is>
          <t>Loss of car allowance (net)</t>
        </is>
      </c>
      <c r="B12" s="6" t="inlineStr">
        <is>
          <t>£7,200 gross p.a. ≈ £400/month net</t>
        </is>
      </c>
      <c r="C12" s="6" t="inlineStr">
        <is>
          <t>10.5 months</t>
        </is>
      </c>
      <c r="D12" s="7">
        <f>400*10.5</f>
        <v/>
      </c>
    </row>
    <row r="13">
      <c r="A13" s="6" t="inlineStr">
        <is>
          <t>Loss of pension contributions</t>
        </is>
      </c>
      <c r="B13" s="6" t="inlineStr">
        <is>
          <t>Employer 6% of £92,000</t>
        </is>
      </c>
      <c r="C13" s="6" t="inlineStr">
        <is>
          <t>10.5 months</t>
        </is>
      </c>
      <c r="D13" s="7">
        <f>92000*0.06/12*10.5</f>
        <v/>
      </c>
    </row>
    <row r="14">
      <c r="A14" s="5" t="inlineStr">
        <is>
          <t>C. FUTURE LOSS OF EARNINGS</t>
        </is>
      </c>
      <c r="B14" s="5" t="n"/>
      <c r="C14" s="5" t="n"/>
      <c r="D14" s="5" t="n"/>
    </row>
    <row r="15">
      <c r="A15" s="6" t="inlineStr">
        <is>
          <t>Future net loss of earnings</t>
        </is>
      </c>
      <c r="B15" s="6" t="inlineStr">
        <is>
          <t>Net £5,140/month, estimated to re-employment</t>
        </is>
      </c>
      <c r="C15" s="6" t="inlineStr">
        <is>
          <t>12 months</t>
        </is>
      </c>
      <c r="D15" s="7">
        <f>5140*12</f>
        <v/>
      </c>
    </row>
    <row r="16">
      <c r="A16" s="6" t="inlineStr">
        <is>
          <t>Future loss of pension</t>
        </is>
      </c>
      <c r="B16" s="6" t="inlineStr">
        <is>
          <t>Employer 6% of salary</t>
        </is>
      </c>
      <c r="C16" s="6" t="inlineStr">
        <is>
          <t>12 months</t>
        </is>
      </c>
      <c r="D16" s="7">
        <f>92000*0.06/12*12</f>
        <v/>
      </c>
    </row>
    <row r="17">
      <c r="A17" s="5" t="inlineStr">
        <is>
          <t>D. STATUTORY / DETRIMENT</t>
        </is>
      </c>
      <c r="B17" s="5" t="n"/>
      <c r="C17" s="5" t="n"/>
      <c r="D17" s="5" t="n"/>
    </row>
    <row r="18">
      <c r="A18" s="6" t="inlineStr">
        <is>
          <t>Injury to feelings (s.47B detriment)</t>
        </is>
      </c>
      <c r="B18" s="6" t="inlineStr">
        <is>
          <t>Middle Vento band</t>
        </is>
      </c>
      <c r="C18" s="6" t="inlineStr">
        <is>
          <t>1</t>
        </is>
      </c>
      <c r="D18" s="7" t="inlineStr">
        <is>
          <t>22000</t>
        </is>
      </c>
    </row>
    <row r="19">
      <c r="A19" s="6" t="inlineStr">
        <is>
          <t>Loss of statutory rights</t>
        </is>
      </c>
      <c r="B19" s="6" t="inlineStr">
        <is>
          <t>Conventional award</t>
        </is>
      </c>
      <c r="C19" s="6" t="inlineStr">
        <is>
          <t>1</t>
        </is>
      </c>
      <c r="D19" s="7" t="inlineStr">
        <is>
          <t>650</t>
        </is>
      </c>
    </row>
    <row r="20">
      <c r="A20" s="5" t="inlineStr">
        <is>
          <t>E. ACAS UPLIFT</t>
        </is>
      </c>
      <c r="B20" s="5" t="n"/>
      <c r="C20" s="5" t="n"/>
      <c r="D20" s="5" t="n"/>
    </row>
    <row r="21">
      <c r="A21" s="6" t="inlineStr">
        <is>
          <t>ACAS uplift (failure to follow procedure)</t>
        </is>
      </c>
      <c r="B21" s="6" t="inlineStr">
        <is>
          <t>25% of compensatory heads (B + C + D)</t>
        </is>
      </c>
      <c r="C21" s="6" t="inlineStr">
        <is>
          <t>25%</t>
        </is>
      </c>
      <c r="D21" s="7">
        <f>0.25*SUM(D11:D19)</f>
        <v/>
      </c>
    </row>
    <row r="23">
      <c r="A23" s="8" t="inlineStr">
        <is>
          <t>TOTAL CLAIMED</t>
        </is>
      </c>
      <c r="B23" s="8" t="n"/>
      <c r="C23" s="8" t="n"/>
      <c r="D23" s="9">
        <f>SUM(D7:D21)</f>
        <v/>
      </c>
    </row>
    <row r="25">
      <c r="A25" s="3" t="inlineStr">
        <is>
          <t>Note: the s.103A automatically-unfair and s.47B detriment claims are not subject to the statutory cap. Aggravated damages are reserved. Interest is claimed on the injury to feelings award.</t>
        </is>
      </c>
    </row>
  </sheetData>
  <mergeCells count="5">
    <mergeCell ref="A1:D1"/>
    <mergeCell ref="A4:D4"/>
    <mergeCell ref="A3:D3"/>
    <mergeCell ref="A25:D2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2026-06-27T16:42:36Z</dcterms:created>
  <dcterms:modified xmlns:dcterms="http://purl.org/dc/terms/" xmlns:xsi="http://www.w3.org/2001/XMLSchema-instance" xsi:type="dcterms:W3CDTF">2026-06-27T16:42:36Z</dcterms:modified>
</cp:coreProperties>
</file>