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name val="Calibri"/>
      <b val="1"/>
      <color rgb="00FFFFFF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2" borderId="1" pivotButton="0" quotePrefix="0" xfId="0"/>
    <xf numFmtId="164" fontId="4" fillId="2" borderId="1" pivotButton="0" quotePrefix="0" xfId="0"/>
    <xf numFmtId="0" fontId="5" fillId="0" borderId="0" pivotButton="0" quotePrefix="0" xfId="0"/>
    <xf numFmtId="0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Okafor Settlement — Final Breakdown (executed 14 May 2025)</t>
        </is>
      </c>
    </row>
    <row r="2">
      <c r="A2" s="2" t="inlineStr">
        <is>
          <t>Whitfield Carter LLP — internal working | Ref SW/AHG/2204417</t>
        </is>
      </c>
    </row>
    <row r="4">
      <c r="A4" s="3" t="inlineStr">
        <is>
          <t>Component</t>
        </is>
      </c>
      <c r="B4" s="3" t="inlineStr">
        <is>
          <t>Tax treatment</t>
        </is>
      </c>
      <c r="C4" s="3" t="inlineStr">
        <is>
          <t>Gross (£)</t>
        </is>
      </c>
      <c r="D4" s="3" t="inlineStr">
        <is>
          <t>Deductions (£)</t>
        </is>
      </c>
      <c r="E4" s="3" t="inlineStr">
        <is>
          <t>Net to Employee (£)</t>
        </is>
      </c>
    </row>
    <row r="5">
      <c r="A5" s="4" t="inlineStr">
        <is>
          <t>Taxable Payment (notice + holiday)</t>
        </is>
      </c>
      <c r="B5" s="4" t="inlineStr">
        <is>
          <t>Subject to PAYE &amp; NIC</t>
        </is>
      </c>
      <c r="C5" s="5" t="n">
        <v>30000</v>
      </c>
      <c r="D5" s="5">
        <f>C5*0.32</f>
        <v/>
      </c>
      <c r="E5" s="5">
        <f>C5-D5</f>
        <v/>
      </c>
    </row>
    <row r="6">
      <c r="A6" s="4" t="inlineStr">
        <is>
          <t>Compensation Payment — first £30,000</t>
        </is>
      </c>
      <c r="B6" s="4" t="inlineStr">
        <is>
          <t>Tax-free (s.403 ITEPA 2003)</t>
        </is>
      </c>
      <c r="C6" s="5" t="n">
        <v>30000</v>
      </c>
      <c r="D6" s="5" t="n">
        <v>0</v>
      </c>
      <c r="E6" s="5">
        <f>C6-D6</f>
        <v/>
      </c>
    </row>
    <row r="7">
      <c r="A7" s="4" t="inlineStr">
        <is>
          <t>Compensation Payment — balance</t>
        </is>
      </c>
      <c r="B7" s="4" t="inlineStr">
        <is>
          <t>Subject to PAYE</t>
        </is>
      </c>
      <c r="C7" s="5" t="n">
        <v>55000</v>
      </c>
      <c r="D7" s="5">
        <f>C7*0.40</f>
        <v/>
      </c>
      <c r="E7" s="5">
        <f>C7-D7</f>
        <v/>
      </c>
    </row>
    <row r="8">
      <c r="A8" s="6" t="inlineStr">
        <is>
          <t>TOTAL TERMINATION PAYMENT</t>
        </is>
      </c>
      <c r="B8" s="6" t="n"/>
      <c r="C8" s="7">
        <f>SUM(C5:C7)</f>
        <v/>
      </c>
      <c r="D8" s="7">
        <f>SUM(D5:D7)</f>
        <v/>
      </c>
      <c r="E8" s="7">
        <f>SUM(E5:E7)</f>
        <v/>
      </c>
    </row>
    <row r="10">
      <c r="A10" s="8" t="inlineStr">
        <is>
          <t>Additional Company costs</t>
        </is>
      </c>
    </row>
    <row r="11">
      <c r="A11" s="4" t="inlineStr">
        <is>
          <t>Contribution to Employee's legal costs</t>
        </is>
      </c>
      <c r="B11" s="4" t="inlineStr">
        <is>
          <t>Paid to Birchall Stone LLP + VAT</t>
        </is>
      </c>
      <c r="C11" s="5" t="n">
        <v>1500</v>
      </c>
      <c r="D11" s="4" t="n"/>
      <c r="E11" s="5">
        <f>C11*1.2</f>
        <v/>
      </c>
    </row>
    <row r="12">
      <c r="A12" s="4" t="inlineStr">
        <is>
          <t>Employer NIC on taxable elements (13.8%)</t>
        </is>
      </c>
      <c r="B12" s="4" t="inlineStr">
        <is>
          <t>Class 1 secondary</t>
        </is>
      </c>
      <c r="C12" s="5">
        <f>(C5+C7-30000)*0.138</f>
        <v/>
      </c>
      <c r="D12" s="4" t="n"/>
      <c r="E12" s="4" t="n"/>
    </row>
    <row r="13">
      <c r="A13" s="9" t="inlineStr">
        <is>
          <t>TOTAL COST TO COMPANY</t>
        </is>
      </c>
      <c r="B13" s="9" t="n"/>
      <c r="C13" s="10">
        <f>C8+C11+C12</f>
        <v/>
      </c>
      <c r="D13" s="9" t="n"/>
      <c r="E13" s="9" t="n"/>
    </row>
    <row r="15">
      <c r="A15" s="2" t="inlineStr">
        <is>
          <t>Reconciliation: settlement authority was £120,000 gross (advice note 6 May 2025). Agreed gross termination payment £115,000 (£30,000 + £85,000 compensation), within authority.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2026-06-27T16:42:36Z</dcterms:created>
  <dcterms:modified xmlns:dcterms="http://purl.org/dc/terms/" xmlns:xsi="http://www.w3.org/2001/XMLSchema-instance" xsi:type="dcterms:W3CDTF">2026-06-27T16:42:36Z</dcterms:modified>
</cp:coreProperties>
</file>