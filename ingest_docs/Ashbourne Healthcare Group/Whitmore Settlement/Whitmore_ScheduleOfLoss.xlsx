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chedule of Los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<sst xmlns="http://schemas.openxmlformats.org/spreadsheetml/2006/main" count="61" uniqueCount="59">
  <si>
    <t xml:space="preserve">SCHEDULE OF LOSS</t>
  </si>
  <si>
    <t xml:space="preserve">Dr Rebecca Whitmore v Ashbourne Healthcare Group Limited</t>
  </si>
  <si>
    <t xml:space="preserve">Prepared by Ashworth Quinn LLP on behalf of the Claimant — 30 January 2025</t>
  </si>
  <si>
    <t xml:space="preserve">Key figures (agreed employment particulars)</t>
  </si>
  <si>
    <t xml:space="preserve">Gross annual salary</t>
  </si>
  <si>
    <t xml:space="preserve">As at Termination Date</t>
  </si>
  <si>
    <t xml:space="preserve">Employer pension (6% of salary)</t>
  </si>
  <si>
    <t xml:space="preserve">Company scheme rate</t>
  </si>
  <si>
    <t xml:space="preserve">Private medical &amp; life cover (annual value)</t>
  </si>
  <si>
    <t xml:space="preserve">P11D value</t>
  </si>
  <si>
    <t xml:space="preserve">Gross annual package</t>
  </si>
  <si>
    <t xml:space="preserve">Salary + pension + benefits</t>
  </si>
  <si>
    <t xml:space="preserve">Net monthly salary</t>
  </si>
  <si>
    <t xml:space="preserve">After tax &amp; NIC (est.)</t>
  </si>
  <si>
    <t xml:space="preserve">Net annual salary</t>
  </si>
  <si>
    <t xml:space="preserve">Net monthly x 12</t>
  </si>
  <si>
    <t xml:space="preserve">Age at Termination Date</t>
  </si>
  <si>
    <t xml:space="preserve">DOB 1977</t>
  </si>
  <si>
    <t xml:space="preserve">Complete years' service</t>
  </si>
  <si>
    <t xml:space="preserve">03/09/2018 - 20/12/2024</t>
  </si>
  <si>
    <t xml:space="preserve">HEAD OF LOSS</t>
  </si>
  <si>
    <t xml:space="preserve">Basis</t>
  </si>
  <si>
    <t xml:space="preserve">Period / units</t>
  </si>
  <si>
    <t xml:space="preserve">Amount (£)</t>
  </si>
  <si>
    <t xml:space="preserve">Notes</t>
  </si>
  <si>
    <t xml:space="preserve">1. Basic award (statutory)</t>
  </si>
  <si>
    <t xml:space="preserve">6 x 1.5 wk x £700 (capped wk)</t>
  </si>
  <si>
    <t xml:space="preserve">6 yrs</t>
  </si>
  <si>
    <t xml:space="preserve">Statutory cap on a week's pay applied</t>
  </si>
  <si>
    <t xml:space="preserve">2. Loss of statutory rights</t>
  </si>
  <si>
    <t xml:space="preserve">Nominal</t>
  </si>
  <si>
    <t xml:space="preserve">-</t>
  </si>
  <si>
    <t xml:space="preserve">Standard award</t>
  </si>
  <si>
    <t xml:space="preserve">3. Past loss of earnings (net)</t>
  </si>
  <si>
    <t xml:space="preserve">Term Date to hearing</t>
  </si>
  <si>
    <t xml:space="preserve">8.0 months</t>
  </si>
  <si>
    <t xml:space="preserve">Net salary to est. hearing date</t>
  </si>
  <si>
    <t xml:space="preserve">4. Future loss of earnings (net)</t>
  </si>
  <si>
    <t xml:space="preserve">Post-hearing</t>
  </si>
  <si>
    <t xml:space="preserve">18.0 months</t>
  </si>
  <si>
    <t xml:space="preserve">Assumes 18 months to comparable role</t>
  </si>
  <si>
    <t xml:space="preserve">5. Loss of pension (past &amp; future)</t>
  </si>
  <si>
    <t xml:space="preserve">20 months x monthly employer pension</t>
  </si>
  <si>
    <t xml:space="preserve">20 months</t>
  </si>
  <si>
    <t xml:space="preserve">Employer contributions foregone</t>
  </si>
  <si>
    <t xml:space="preserve">6. Loss of benefits (medical/life)</t>
  </si>
  <si>
    <t xml:space="preserve">20 months x monthly benefit value</t>
  </si>
  <si>
    <t xml:space="preserve">PMI/life cover value</t>
  </si>
  <si>
    <t xml:space="preserve">7. Injury to feelings (detriment claim)</t>
  </si>
  <si>
    <t xml:space="preserve">Middle Vento band</t>
  </si>
  <si>
    <t xml:space="preserve">s.47B ERA detriment; Vento (2024 uplift)</t>
  </si>
  <si>
    <t xml:space="preserve">8. ACAS uplift (up to 25%)</t>
  </si>
  <si>
    <t xml:space="preserve">On compensatory heads</t>
  </si>
  <si>
    <t xml:space="preserve">15%</t>
  </si>
  <si>
    <t xml:space="preserve">For breach of ACAS Code (claimed)</t>
  </si>
  <si>
    <t xml:space="preserve">TOTAL CLAIMED (compensatory + basic)</t>
  </si>
  <si>
    <t xml:space="preserve">Less: statutory redundancy pay &amp; PILON already received</t>
  </si>
  <si>
    <t xml:space="preserve">NET SUM SOUGHT (before interest &amp; grossing-up)</t>
  </si>
  <si>
    <t xml:space="preserve">Note: the compensatory award for automatic unfair dismissal (s.103A ERA) and detriment (s.47B ERA) is not subject to the statutory cap. Figures are the Claimant's and are subject to the duty to mitigate.</t>
  </si>
</sst>
</file>

<file path=xl/styles.xml><?xml version="1.0" encoding="utf-8"?>
<styleSheet xmlns="http://schemas.openxmlformats.org/spreadsheetml/2006/main">
  <numFmts count="4">
    <numFmt numFmtId="164" formatCode="General"/>
    <numFmt numFmtId="165" formatCode="\£#,##0;&quot;(£&quot;#,##0\);\-"/>
    <numFmt numFmtId="166" formatCode="0"/>
    <numFmt numFmtId="167" formatCode="&quot;(£&quot;#,##0\)"/>
  </numFmts>
  <fonts count="15">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1"/>
      <name val="Arial"/>
      <family val="0"/>
      <charset val="1"/>
    </font>
    <font>
      <sz val="9"/>
      <color rgb="FF666666"/>
      <name val="Arial"/>
      <family val="0"/>
      <charset val="1"/>
    </font>
    <font>
      <b val="true"/>
      <sz val="11"/>
      <name val="Arial"/>
      <family val="0"/>
      <charset val="1"/>
    </font>
    <font>
      <sz val="11"/>
      <name val="Arial"/>
      <family val="0"/>
      <charset val="1"/>
    </font>
    <font>
      <sz val="11"/>
      <color rgb="FF0000FF"/>
      <name val="Arial"/>
      <family val="0"/>
      <charset val="1"/>
    </font>
    <font>
      <b val="true"/>
      <sz val="11"/>
      <color rgb="FFFFFFFF"/>
      <name val="Arial"/>
      <family val="0"/>
      <charset val="1"/>
    </font>
    <font>
      <sz val="9"/>
      <name val="Arial"/>
      <family val="0"/>
      <charset val="1"/>
    </font>
    <font>
      <sz val="9"/>
      <color rgb="FF999999"/>
      <name val="Arial"/>
      <family val="0"/>
      <charset val="1"/>
    </font>
    <font>
      <b val="true"/>
      <sz val="12"/>
      <name val="Arial"/>
      <family val="0"/>
      <charset val="1"/>
    </font>
    <font>
      <i val="true"/>
      <sz val="9"/>
      <color rgb="FF666666"/>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2F2F2"/>
        <bgColor rgb="FFFFFFFF"/>
      </patternFill>
    </fill>
    <fill>
      <patternFill patternType="solid">
        <fgColor rgb="FFDCE6F1"/>
        <bgColor rgb="FFF2F2F2"/>
      </patternFill>
    </fill>
  </fills>
  <borders count="2">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11" fillId="3" borderId="1" xfId="0" applyFont="true" applyBorder="true" applyAlignment="false" applyProtection="false">
      <alignment horizontal="general" vertical="bottom" textRotation="0" wrapText="false" indent="0" shrinkToFit="false"/>
      <protection locked="true" hidden="false"/>
    </xf>
    <xf numFmtId="165" fontId="9" fillId="3"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5" fontId="0" fillId="3" borderId="1" xfId="0" applyFont="fals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5" fontId="13" fillId="4" borderId="1" xfId="0" applyFont="true" applyBorder="tru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2F2F2"/>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99999"/>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7" topLeftCell="A18"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42"/>
    <col collapsed="false" customWidth="true" hidden="false" outlineLevel="0" max="4" min="2" style="0" width="16"/>
    <col collapsed="false" customWidth="true" hidden="false" outlineLevel="0" max="5" min="5" style="0" width="34"/>
    <col collapsed="false" customWidth="true" hidden="false" outlineLevel="0" max="6" min="6" style="0" width="8"/>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row>
    <row r="5" customFormat="false" ht="15" hidden="false" customHeight="false" outlineLevel="0" collapsed="false">
      <c r="A5" s="4" t="s">
        <v>3</v>
      </c>
    </row>
    <row r="7" customFormat="false" ht="15" hidden="false" customHeight="false" outlineLevel="0" collapsed="false">
      <c r="A7" s="5" t="s">
        <v>4</v>
      </c>
      <c r="B7" s="6" t="n">
        <v>92000</v>
      </c>
      <c r="E7" s="3" t="s">
        <v>5</v>
      </c>
    </row>
    <row r="8" customFormat="false" ht="15" hidden="false" customHeight="false" outlineLevel="0" collapsed="false">
      <c r="A8" s="5" t="s">
        <v>6</v>
      </c>
      <c r="B8" s="7" t="n">
        <f aca="false">B7*0.06</f>
        <v>5520</v>
      </c>
      <c r="E8" s="3" t="s">
        <v>7</v>
      </c>
    </row>
    <row r="9" customFormat="false" ht="15" hidden="false" customHeight="false" outlineLevel="0" collapsed="false">
      <c r="A9" s="5" t="s">
        <v>8</v>
      </c>
      <c r="B9" s="6" t="n">
        <v>2100</v>
      </c>
      <c r="E9" s="3" t="s">
        <v>9</v>
      </c>
    </row>
    <row r="10" customFormat="false" ht="15" hidden="false" customHeight="false" outlineLevel="0" collapsed="false">
      <c r="A10" s="5" t="s">
        <v>10</v>
      </c>
      <c r="B10" s="7" t="n">
        <f aca="false">B7+B8+B9</f>
        <v>99620</v>
      </c>
      <c r="E10" s="3" t="s">
        <v>11</v>
      </c>
    </row>
    <row r="11" customFormat="false" ht="15" hidden="false" customHeight="false" outlineLevel="0" collapsed="false">
      <c r="A11" s="5" t="s">
        <v>12</v>
      </c>
      <c r="B11" s="6" t="n">
        <v>5450</v>
      </c>
      <c r="E11" s="3" t="s">
        <v>13</v>
      </c>
    </row>
    <row r="12" customFormat="false" ht="15" hidden="false" customHeight="false" outlineLevel="0" collapsed="false">
      <c r="A12" s="5" t="s">
        <v>14</v>
      </c>
      <c r="B12" s="7" t="n">
        <f aca="false">B11*12</f>
        <v>65400</v>
      </c>
      <c r="E12" s="3" t="s">
        <v>15</v>
      </c>
    </row>
    <row r="13" customFormat="false" ht="15" hidden="false" customHeight="false" outlineLevel="0" collapsed="false">
      <c r="A13" s="5" t="s">
        <v>16</v>
      </c>
      <c r="B13" s="8" t="n">
        <v>47</v>
      </c>
      <c r="E13" s="3" t="s">
        <v>17</v>
      </c>
    </row>
    <row r="14" customFormat="false" ht="15" hidden="false" customHeight="false" outlineLevel="0" collapsed="false">
      <c r="A14" s="5" t="s">
        <v>18</v>
      </c>
      <c r="B14" s="8" t="n">
        <v>6</v>
      </c>
      <c r="E14" s="3" t="s">
        <v>19</v>
      </c>
    </row>
    <row r="17" customFormat="false" ht="15" hidden="false" customHeight="false" outlineLevel="0" collapsed="false">
      <c r="A17" s="9" t="s">
        <v>20</v>
      </c>
      <c r="B17" s="9" t="s">
        <v>21</v>
      </c>
      <c r="C17" s="9" t="s">
        <v>22</v>
      </c>
      <c r="D17" s="9" t="s">
        <v>23</v>
      </c>
      <c r="E17" s="9" t="s">
        <v>24</v>
      </c>
    </row>
    <row r="18" customFormat="false" ht="15" hidden="false" customHeight="false" outlineLevel="0" collapsed="false">
      <c r="A18" s="10" t="s">
        <v>25</v>
      </c>
      <c r="B18" s="11" t="s">
        <v>26</v>
      </c>
      <c r="C18" s="10" t="s">
        <v>27</v>
      </c>
      <c r="D18" s="12" t="n">
        <v>6300</v>
      </c>
      <c r="E18" s="13" t="s">
        <v>28</v>
      </c>
    </row>
    <row r="19" customFormat="false" ht="15" hidden="false" customHeight="false" outlineLevel="0" collapsed="false">
      <c r="A19" s="14" t="s">
        <v>29</v>
      </c>
      <c r="B19" s="15" t="s">
        <v>30</v>
      </c>
      <c r="C19" s="14" t="s">
        <v>31</v>
      </c>
      <c r="D19" s="16" t="n">
        <v>600</v>
      </c>
      <c r="E19" s="17" t="s">
        <v>32</v>
      </c>
    </row>
    <row r="20" customFormat="false" ht="15" hidden="false" customHeight="false" outlineLevel="0" collapsed="false">
      <c r="A20" s="10" t="s">
        <v>33</v>
      </c>
      <c r="B20" s="11" t="s">
        <v>34</v>
      </c>
      <c r="C20" s="10" t="s">
        <v>35</v>
      </c>
      <c r="D20" s="18" t="n">
        <f aca="false">ROUND($B$12/12*F20,0)</f>
        <v>43600</v>
      </c>
      <c r="E20" s="13" t="s">
        <v>36</v>
      </c>
      <c r="F20" s="19" t="n">
        <v>8</v>
      </c>
    </row>
    <row r="21" customFormat="false" ht="15" hidden="false" customHeight="false" outlineLevel="0" collapsed="false">
      <c r="A21" s="14" t="s">
        <v>37</v>
      </c>
      <c r="B21" s="15" t="s">
        <v>38</v>
      </c>
      <c r="C21" s="14" t="s">
        <v>39</v>
      </c>
      <c r="D21" s="20" t="n">
        <f aca="false">ROUND($B$12/12*F21,0)</f>
        <v>98100</v>
      </c>
      <c r="E21" s="17" t="s">
        <v>40</v>
      </c>
      <c r="F21" s="19" t="n">
        <v>18</v>
      </c>
    </row>
    <row r="22" customFormat="false" ht="15" hidden="false" customHeight="false" outlineLevel="0" collapsed="false">
      <c r="A22" s="10" t="s">
        <v>41</v>
      </c>
      <c r="B22" s="11" t="s">
        <v>42</v>
      </c>
      <c r="C22" s="10" t="s">
        <v>43</v>
      </c>
      <c r="D22" s="18" t="n">
        <f aca="false">ROUND(B8/12*20,0)</f>
        <v>9200</v>
      </c>
      <c r="E22" s="13" t="s">
        <v>44</v>
      </c>
    </row>
    <row r="23" customFormat="false" ht="15" hidden="false" customHeight="false" outlineLevel="0" collapsed="false">
      <c r="A23" s="14" t="s">
        <v>45</v>
      </c>
      <c r="B23" s="15" t="s">
        <v>46</v>
      </c>
      <c r="C23" s="14" t="s">
        <v>43</v>
      </c>
      <c r="D23" s="20" t="n">
        <f aca="false">ROUND(B9/12*20,0)</f>
        <v>3500</v>
      </c>
      <c r="E23" s="17" t="s">
        <v>47</v>
      </c>
    </row>
    <row r="24" customFormat="false" ht="15" hidden="false" customHeight="false" outlineLevel="0" collapsed="false">
      <c r="A24" s="10" t="s">
        <v>48</v>
      </c>
      <c r="B24" s="11" t="s">
        <v>49</v>
      </c>
      <c r="C24" s="10" t="s">
        <v>31</v>
      </c>
      <c r="D24" s="12" t="n">
        <v>22000</v>
      </c>
      <c r="E24" s="13" t="s">
        <v>50</v>
      </c>
    </row>
    <row r="25" customFormat="false" ht="15" hidden="false" customHeight="false" outlineLevel="0" collapsed="false">
      <c r="A25" s="14" t="s">
        <v>51</v>
      </c>
      <c r="B25" s="15" t="s">
        <v>52</v>
      </c>
      <c r="C25" s="14" t="s">
        <v>53</v>
      </c>
      <c r="D25" s="20" t="n">
        <f aca="false">ROUND((D20+D21+D22+D23)*0.15,0)</f>
        <v>23160</v>
      </c>
      <c r="E25" s="17" t="s">
        <v>54</v>
      </c>
    </row>
    <row r="27" customFormat="false" ht="15" hidden="false" customHeight="false" outlineLevel="0" collapsed="false">
      <c r="A27" s="21" t="s">
        <v>55</v>
      </c>
      <c r="B27" s="22"/>
      <c r="C27" s="22"/>
      <c r="D27" s="23" t="n">
        <f aca="false">SUM(D18:D25)</f>
        <v>206460</v>
      </c>
      <c r="E27" s="22"/>
    </row>
    <row r="29" customFormat="false" ht="15" hidden="false" customHeight="false" outlineLevel="0" collapsed="false">
      <c r="A29" s="5" t="s">
        <v>56</v>
      </c>
      <c r="D29" s="24" t="n">
        <v>-27800</v>
      </c>
    </row>
    <row r="30" customFormat="false" ht="15" hidden="false" customHeight="false" outlineLevel="0" collapsed="false">
      <c r="A30" s="21" t="s">
        <v>57</v>
      </c>
      <c r="B30" s="22"/>
      <c r="C30" s="22"/>
      <c r="D30" s="23" t="n">
        <f aca="false">D27+D29</f>
        <v>178660</v>
      </c>
      <c r="E30" s="22"/>
    </row>
    <row r="32" customFormat="false" ht="15" hidden="false" customHeight="false" outlineLevel="0" collapsed="false">
      <c r="A32" s="25" t="s">
        <v>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2026-07-01T03:08:08Z</dcterms:created>
  <dc:creator>openpyxl</dc:creator>
  <dc:description/>
  <dc:language>en-US</dc:language>
  <cp:lastModifiedBy/>
  <dcterms:modified xsi:type="dcterms:W3CDTF">2026-07-01T03:08:08Z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