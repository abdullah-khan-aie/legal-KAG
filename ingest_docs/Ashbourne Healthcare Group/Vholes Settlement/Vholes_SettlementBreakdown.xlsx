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Breakdown" sheetId="1" state="visible" r:id="rId1"/>
    <sheet xmlns:r="http://schemas.openxmlformats.org/officeDocument/2006/relationships" name="PENP Wor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7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6" fillId="2" borderId="1" applyAlignment="1" pivotButton="0" quotePrefix="0" xfId="0">
      <alignment horizontal="center" wrapText="1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4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Ashbourne Healthcare Group Limited — A. Vholes Settlement Breakdown</t>
        </is>
      </c>
    </row>
    <row r="2">
      <c r="A2" s="2" t="inlineStr">
        <is>
          <t>WC-00183  |  Prepared by Whitfield Carter LLP  |  Final negotiated terms (executed 27 March 2026)</t>
        </is>
      </c>
    </row>
    <row r="3">
      <c r="A3" s="2" t="inlineStr">
        <is>
          <t>All figures in £. Tax modelled at additional rate 45%; employee NIC 2% on relevant earnings.</t>
        </is>
      </c>
    </row>
    <row r="5">
      <c r="A5" s="3" t="inlineStr">
        <is>
          <t>Assumptions</t>
        </is>
      </c>
    </row>
    <row r="6">
      <c r="A6" s="4" t="inlineStr">
        <is>
          <t>Basic salary (p.a.)</t>
        </is>
      </c>
      <c r="B6" s="5" t="n">
        <v>215000</v>
      </c>
    </row>
    <row r="7">
      <c r="A7" s="4" t="inlineStr">
        <is>
          <t>Additional-rate income tax</t>
        </is>
      </c>
      <c r="B7" s="6" t="n">
        <v>0.45</v>
      </c>
    </row>
    <row r="8">
      <c r="A8" s="4" t="inlineStr">
        <is>
          <t>Employee NIC (above UEL)</t>
        </is>
      </c>
      <c r="B8" s="6" t="n">
        <v>0.02</v>
      </c>
    </row>
    <row r="9">
      <c r="A9" s="4" t="inlineStr">
        <is>
          <t>Employer NIC</t>
        </is>
      </c>
      <c r="B9" s="6" t="n">
        <v>0.138</v>
      </c>
    </row>
    <row r="10">
      <c r="A10" s="4" t="inlineStr">
        <is>
          <t>s.401 ITEPA tax-free amount</t>
        </is>
      </c>
      <c r="B10" s="5" t="n">
        <v>30000</v>
      </c>
    </row>
    <row r="13">
      <c r="A13" s="7" t="inlineStr">
        <is>
          <t>Payment component</t>
        </is>
      </c>
      <c r="B13" s="7" t="inlineStr">
        <is>
          <t>Gross (£)</t>
        </is>
      </c>
      <c r="C13" s="7" t="inlineStr">
        <is>
          <t>Taxable (£)</t>
        </is>
      </c>
      <c r="D13" s="7" t="inlineStr">
        <is>
          <t>Income tax (£)</t>
        </is>
      </c>
      <c r="E13" s="7" t="inlineStr">
        <is>
          <t>Employee NIC (£)</t>
        </is>
      </c>
      <c r="F13" s="7" t="inlineStr">
        <is>
          <t>Net to employee (£)</t>
        </is>
      </c>
    </row>
    <row r="14">
      <c r="A14" s="8" t="inlineStr">
        <is>
          <t>Payment in lieu of notice (6 months)</t>
        </is>
      </c>
      <c r="B14" s="9" t="n">
        <v>107500</v>
      </c>
      <c r="C14" s="10">
        <f>B14</f>
        <v/>
      </c>
      <c r="D14" s="10">
        <f>C14*$B$7</f>
        <v/>
      </c>
      <c r="E14" s="10">
        <f>C14*$B$8</f>
        <v/>
      </c>
      <c r="F14" s="10">
        <f>B14-D14-E14</f>
        <v/>
      </c>
    </row>
    <row r="15">
      <c r="A15" s="8" t="inlineStr">
        <is>
          <t>Ex gratia termination payment</t>
        </is>
      </c>
      <c r="B15" s="9" t="n">
        <v>110000</v>
      </c>
      <c r="C15" s="10">
        <f>MAX(0,B15-$B$10)</f>
        <v/>
      </c>
      <c r="D15" s="10">
        <f>C15*$B$7</f>
        <v/>
      </c>
      <c r="E15" s="10" t="n">
        <v>0</v>
      </c>
      <c r="F15" s="10">
        <f>B15-D15-E15</f>
        <v/>
      </c>
    </row>
    <row r="16">
      <c r="A16" s="8" t="inlineStr">
        <is>
          <t>Outstanding FY2025 bonus</t>
        </is>
      </c>
      <c r="B16" s="9" t="n">
        <v>43000</v>
      </c>
      <c r="C16" s="10">
        <f>B16</f>
        <v/>
      </c>
      <c r="D16" s="10">
        <f>C16*$B$7</f>
        <v/>
      </c>
      <c r="E16" s="10">
        <f>C16*$B$8</f>
        <v/>
      </c>
      <c r="F16" s="10">
        <f>B16-D16-E16</f>
        <v/>
      </c>
    </row>
    <row r="17">
      <c r="A17" s="8" t="inlineStr">
        <is>
          <t>Outplacement support (s.310 exempt)</t>
        </is>
      </c>
      <c r="B17" s="9" t="n">
        <v>7500</v>
      </c>
      <c r="C17" s="10" t="n">
        <v>0</v>
      </c>
      <c r="D17" s="10">
        <f>C17*$B$7</f>
        <v/>
      </c>
      <c r="E17" s="10" t="n">
        <v>0</v>
      </c>
      <c r="F17" s="10">
        <f>B17-D17-E17</f>
        <v/>
      </c>
    </row>
    <row r="18">
      <c r="A18" s="11" t="inlineStr">
        <is>
          <t>TOTAL</t>
        </is>
      </c>
      <c r="B18" s="12">
        <f>SUM(B14:B17)</f>
        <v/>
      </c>
      <c r="C18" s="12">
        <f>SUM(C14:C17)</f>
        <v/>
      </c>
      <c r="D18" s="12">
        <f>SUM(D14:D17)</f>
        <v/>
      </c>
      <c r="E18" s="12">
        <f>SUM(E14:E17)</f>
        <v/>
      </c>
      <c r="F18" s="12">
        <f>SUM(F14:F17)</f>
        <v/>
      </c>
    </row>
    <row r="20">
      <c r="A20" s="3" t="inlineStr">
        <is>
          <t>Employer cost reconciliation</t>
        </is>
      </c>
    </row>
    <row r="21">
      <c r="A21" s="4" t="inlineStr">
        <is>
          <t>Total gross payments</t>
        </is>
      </c>
      <c r="B21" s="13">
        <f>B18</f>
        <v/>
      </c>
    </row>
    <row r="22">
      <c r="A22" s="4" t="inlineStr">
        <is>
          <t>Employer NIC on taxable earnings</t>
        </is>
      </c>
      <c r="B22" s="13">
        <f>SUM(C14:C17)*$B$9</f>
        <v/>
      </c>
    </row>
    <row r="23">
      <c r="A23" s="4" t="inlineStr">
        <is>
          <t>Legal fees contribution (£2,500 + VAT @ 20%)</t>
        </is>
      </c>
      <c r="B23" s="5" t="n">
        <v>3000</v>
      </c>
    </row>
    <row r="24">
      <c r="A24" s="14" t="inlineStr">
        <is>
          <t>TOTAL COST TO EMPLOYER</t>
        </is>
      </c>
      <c r="B24" s="12">
        <f>B21+B22+B23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Post-Employment Notice Pay (PENP) — illustrative check</t>
        </is>
      </c>
    </row>
    <row r="2">
      <c r="A2" s="2" t="inlineStr">
        <is>
          <t>Confirms PILON is taxable as earnings; ex gratia s.401 treatment applies only above PENP.</t>
        </is>
      </c>
    </row>
    <row r="4">
      <c r="A4" s="4" t="inlineStr">
        <is>
          <t>Basic monthly pay (BP)</t>
        </is>
      </c>
      <c r="B4" s="13">
        <f>215000/12</f>
        <v/>
      </c>
    </row>
    <row r="5">
      <c r="A5" s="4" t="inlineStr">
        <is>
          <t>Unworked notice period (months, P)</t>
        </is>
      </c>
      <c r="B5" s="5" t="n">
        <v>6</v>
      </c>
    </row>
    <row r="6">
      <c r="A6" s="4" t="inlineStr">
        <is>
          <t>PENP (BP x P)</t>
        </is>
      </c>
      <c r="B6" s="13">
        <f>B4*B5</f>
        <v/>
      </c>
    </row>
    <row r="7">
      <c r="A7" s="4" t="inlineStr">
        <is>
          <t>PILON actually paid</t>
        </is>
      </c>
      <c r="B7" s="5" t="n">
        <v>107500</v>
      </c>
    </row>
    <row r="8">
      <c r="A8" s="4" t="inlineStr">
        <is>
          <t>Ex gratia payment</t>
        </is>
      </c>
      <c r="B8" s="5" t="n">
        <v>110000</v>
      </c>
    </row>
    <row r="9">
      <c r="A9" s="4" t="inlineStr">
        <is>
          <t>s.401 tax-free band</t>
        </is>
      </c>
      <c r="B9" s="5" t="n">
        <v>30000</v>
      </c>
    </row>
    <row r="10">
      <c r="A10" s="4" t="inlineStr">
        <is>
          <t>Taxable ex gratia (above £30k)</t>
        </is>
      </c>
      <c r="B10" s="13">
        <f>MAX(0,B8-B9)</f>
        <v/>
      </c>
    </row>
    <row r="12">
      <c r="A12" s="2" t="inlineStr">
        <is>
          <t>Note: PENP (£107,500) equals the PILON paid, so the whole PILON is taxable as earnings; the ex gratia payment benefits from the £30,000 exemption with the £80,000 balance taxed.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2026-06-29T17:27:50Z</dcterms:created>
  <dcterms:modified xmlns:dcterms="http://purl.org/dc/terms/" xmlns:xsi="http://www.w3.org/2001/XMLSchema-instance" xsi:type="dcterms:W3CDTF">2026-06-29T17:27:50Z</dcterms:modified>
</cp:coreProperties>
</file>