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Plan" sheetId="1" state="visible" r:id="rId3"/>
    <sheet name="Cos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<sst xmlns="http://schemas.openxmlformats.org/spreadsheetml/2006/main" count="126" uniqueCount="100">
  <si>
    <t xml:space="preserve">Maple Court Care Home — Remedial Action Plan Tracker</t>
  </si>
  <si>
    <t xml:space="preserve">Ashbourne Healthcare Group Limited  ·  Matter WC-00189  ·  Re: CQC Warning Notice (Reg 12) &amp; Notice of Proposal  ·  Compliance date: 30 April 2025</t>
  </si>
  <si>
    <t xml:space="preserve">Status as at 12 May 2025. Prepared with Whitfield Carter LLP. PRIVILEGED &amp; CONFIDENTIAL.</t>
  </si>
  <si>
    <t xml:space="preserve">Ref</t>
  </si>
  <si>
    <t xml:space="preserve">Finding / required action</t>
  </si>
  <si>
    <t xml:space="preserve">Regulation</t>
  </si>
  <si>
    <t xml:space="preserve">Owner</t>
  </si>
  <si>
    <t xml:space="preserve">Target date</t>
  </si>
  <si>
    <t xml:space="preserve">Status</t>
  </si>
  <si>
    <t xml:space="preserve">% complete</t>
  </si>
  <si>
    <t xml:space="preserve">Evidence reference</t>
  </si>
  <si>
    <t xml:space="preserve">A1</t>
  </si>
  <si>
    <t xml:space="preserve">Implement electronic medicines administration (eMAR) system across all four units</t>
  </si>
  <si>
    <t xml:space="preserve">Reg 12</t>
  </si>
  <si>
    <t xml:space="preserve">Clinical Lead / IT</t>
  </si>
  <si>
    <t xml:space="preserve">2025-04-22</t>
  </si>
  <si>
    <t xml:space="preserve">Complete</t>
  </si>
  <si>
    <t xml:space="preserve">eMAR go-live confirmation 22/04/25</t>
  </si>
  <si>
    <t xml:space="preserve">A2</t>
  </si>
  <si>
    <t xml:space="preserve">100% audit of high-risk medicines (anticoagulants, insulin, opioids) — replace sampling audit</t>
  </si>
  <si>
    <t xml:space="preserve">Registered Manager</t>
  </si>
  <si>
    <t xml:space="preserve">2025-03-31</t>
  </si>
  <si>
    <t xml:space="preserve">Revised audit SOP v3; April audit log</t>
  </si>
  <si>
    <t xml:space="preserve">A3</t>
  </si>
  <si>
    <t xml:space="preserve">Medicines competency reassessment of all nurses (substantive and agency)</t>
  </si>
  <si>
    <t xml:space="preserve">Clinical Lead</t>
  </si>
  <si>
    <t xml:space="preserve">2025-04-18</t>
  </si>
  <si>
    <t xml:space="preserve">Competency matrix 18/04/25</t>
  </si>
  <si>
    <t xml:space="preserve">A4</t>
  </si>
  <si>
    <t xml:space="preserve">Fill substantive night-nurse vacancy on Ferndale unit</t>
  </si>
  <si>
    <t xml:space="preserve">Reg 18</t>
  </si>
  <si>
    <t xml:space="preserve">HR / COO</t>
  </si>
  <si>
    <t xml:space="preserve">2025-04-14</t>
  </si>
  <si>
    <t xml:space="preserve">Contract start 14/04/25</t>
  </si>
  <si>
    <t xml:space="preserve">A5</t>
  </si>
  <si>
    <t xml:space="preserve">Commission external medicines audit by independent pharmacist</t>
  </si>
  <si>
    <t xml:space="preserve">Reg 17</t>
  </si>
  <si>
    <t xml:space="preserve">Quality Director</t>
  </si>
  <si>
    <t xml:space="preserve">2025-04-28</t>
  </si>
  <si>
    <t xml:space="preserve">External audit report 28/04/25</t>
  </si>
  <si>
    <t xml:space="preserve">A6</t>
  </si>
  <si>
    <t xml:space="preserve">Daily MAR reconciliation check by nurse-in-charge, signed off</t>
  </si>
  <si>
    <t xml:space="preserve">Nurse in Charge</t>
  </si>
  <si>
    <t xml:space="preserve">2025-03-17</t>
  </si>
  <si>
    <t xml:space="preserve">Daily check sheets (ongoing)</t>
  </si>
  <si>
    <t xml:space="preserve">A7</t>
  </si>
  <si>
    <t xml:space="preserve">Duty of candour meeting with resident's family; written apology</t>
  </si>
  <si>
    <t xml:space="preserve">Reg 20</t>
  </si>
  <si>
    <t xml:space="preserve">2025-02-10</t>
  </si>
  <si>
    <t xml:space="preserve">Candour log; letter 10/02/25</t>
  </si>
  <si>
    <t xml:space="preserve">A8</t>
  </si>
  <si>
    <t xml:space="preserve">Monthly medicines-governance report to CQC</t>
  </si>
  <si>
    <t xml:space="preserve">March &amp; April reports submitted</t>
  </si>
  <si>
    <t xml:space="preserve">A9</t>
  </si>
  <si>
    <t xml:space="preserve">Fortnightly quality-assurance visits by Group quality team</t>
  </si>
  <si>
    <t xml:space="preserve">2025-03-24</t>
  </si>
  <si>
    <t xml:space="preserve">QA visit logs</t>
  </si>
  <si>
    <t xml:space="preserve">A10</t>
  </si>
  <si>
    <t xml:space="preserve">Appoint dedicated clinical lead for Maple Court</t>
  </si>
  <si>
    <t xml:space="preserve">COO</t>
  </si>
  <si>
    <t xml:space="preserve">2025-05-06</t>
  </si>
  <si>
    <t xml:space="preserve">Appointment 06/05/25</t>
  </si>
  <si>
    <t xml:space="preserve">A11</t>
  </si>
  <si>
    <t xml:space="preserve">Registered manager additional medicines-governance training</t>
  </si>
  <si>
    <t xml:space="preserve">2025-05-09</t>
  </si>
  <si>
    <t xml:space="preserve">Training certificate 09/05/25</t>
  </si>
  <si>
    <t xml:space="preserve">A12</t>
  </si>
  <si>
    <t xml:space="preserve">Refresh safeguarding &amp; escalation procedure; staff briefing</t>
  </si>
  <si>
    <t xml:space="preserve">Reg 13</t>
  </si>
  <si>
    <t xml:space="preserve">2025-05-16</t>
  </si>
  <si>
    <t xml:space="preserve">In progress</t>
  </si>
  <si>
    <t xml:space="preserve">Draft procedure; briefing scheduled</t>
  </si>
  <si>
    <t xml:space="preserve">A13</t>
  </si>
  <si>
    <t xml:space="preserve">Resident &amp; family reassurance forum</t>
  </si>
  <si>
    <t xml:space="preserve">2025-05-23</t>
  </si>
  <si>
    <t xml:space="preserve">Forum invitations issued</t>
  </si>
  <si>
    <t xml:space="preserve">Overall completion (weighted average of actions)</t>
  </si>
  <si>
    <t xml:space="preserve">Actions complete / total</t>
  </si>
  <si>
    <t xml:space="preserve">Maple Court Remediation — Indicative Cost Summary (£)</t>
  </si>
  <si>
    <t xml:space="preserve">Internal estimate for board reporting. Excl. VAT. Source: Group Finance, May 2025.</t>
  </si>
  <si>
    <t xml:space="preserve">Item</t>
  </si>
  <si>
    <t xml:space="preserve">One-off cost (£)</t>
  </si>
  <si>
    <t xml:space="preserve">Annualised cost (£)</t>
  </si>
  <si>
    <t xml:space="preserve">Notes</t>
  </si>
  <si>
    <t xml:space="preserve">eMAR system (licences + hardware)</t>
  </si>
  <si>
    <t xml:space="preserve">3-year licence; hardware one-off</t>
  </si>
  <si>
    <t xml:space="preserve">Substantive night nurse (Ferndale)</t>
  </si>
  <si>
    <t xml:space="preserve">Replaces agency spend</t>
  </si>
  <si>
    <t xml:space="preserve">Dedicated clinical lead (0.6 WTE)</t>
  </si>
  <si>
    <t xml:space="preserve">New post</t>
  </si>
  <si>
    <t xml:space="preserve">External medicines audit (independent pharmacist)</t>
  </si>
  <si>
    <t xml:space="preserve">Quarterly thereafter</t>
  </si>
  <si>
    <t xml:space="preserve">Staff medicines training &amp; competency</t>
  </si>
  <si>
    <t xml:space="preserve">Refresher annually</t>
  </si>
  <si>
    <t xml:space="preserve">Legal &amp; regulatory advice (Whitfield Carter LLP)</t>
  </si>
  <si>
    <t xml:space="preserve">Estimate to representations stage</t>
  </si>
  <si>
    <t xml:space="preserve">Quality-assurance visit programme</t>
  </si>
  <si>
    <t xml:space="preserve">Group quality team time</t>
  </si>
  <si>
    <t xml:space="preserve">Total</t>
  </si>
  <si>
    <t xml:space="preserve">Year-1 total impact (one-off + annualised)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</si>
</sst>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  <fill>
      <patternFill patternType="solid">
        <fgColor rgb="FFE2EFDA"/>
        <bgColor rgb="FFF2F4F8"/>
      </patternFill>
    </fill>
    <fill>
      <patternFill patternType="solid">
        <fgColor rgb="FFFFF2CC"/>
        <bgColor rgb="FFF2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4" t="s">
        <v>11</v>
      </c>
      <c r="B6" s="5" t="s">
        <v>12</v>
      </c>
      <c r="C6" s="4" t="s">
        <v>13</v>
      </c>
      <c r="D6" s="4" t="s">
        <v>14</v>
      </c>
      <c r="E6" s="4" t="s">
        <v>15</v>
      </c>
      <c r="F6" s="6" t="s">
        <v>16</v>
      </c>
      <c r="G6" s="7" t="n">
        <v>1</v>
      </c>
      <c r="H6" s="5" t="s">
        <v>17</v>
      </c>
    </row>
    <row r="7" customFormat="false" ht="23.85" hidden="false" customHeight="false" outlineLevel="0" collapsed="false">
      <c r="A7" s="8" t="s">
        <v>18</v>
      </c>
      <c r="B7" s="9" t="s">
        <v>19</v>
      </c>
      <c r="C7" s="8" t="s">
        <v>13</v>
      </c>
      <c r="D7" s="8" t="s">
        <v>20</v>
      </c>
      <c r="E7" s="8" t="s">
        <v>21</v>
      </c>
      <c r="F7" s="6" t="s">
        <v>16</v>
      </c>
      <c r="G7" s="10" t="n">
        <v>1</v>
      </c>
      <c r="H7" s="9" t="s">
        <v>22</v>
      </c>
    </row>
    <row r="8" customFormat="false" ht="23.85" hidden="false" customHeight="false" outlineLevel="0" collapsed="false">
      <c r="A8" s="4" t="s">
        <v>23</v>
      </c>
      <c r="B8" s="5" t="s">
        <v>24</v>
      </c>
      <c r="C8" s="4" t="s">
        <v>13</v>
      </c>
      <c r="D8" s="4" t="s">
        <v>25</v>
      </c>
      <c r="E8" s="4" t="s">
        <v>26</v>
      </c>
      <c r="F8" s="6" t="s">
        <v>16</v>
      </c>
      <c r="G8" s="7" t="n">
        <v>1</v>
      </c>
      <c r="H8" s="5" t="s">
        <v>27</v>
      </c>
    </row>
    <row r="9" customFormat="false" ht="15" hidden="false" customHeight="false" outlineLevel="0" collapsed="false">
      <c r="A9" s="8" t="s">
        <v>28</v>
      </c>
      <c r="B9" s="9" t="s">
        <v>29</v>
      </c>
      <c r="C9" s="8" t="s">
        <v>30</v>
      </c>
      <c r="D9" s="8" t="s">
        <v>31</v>
      </c>
      <c r="E9" s="8" t="s">
        <v>32</v>
      </c>
      <c r="F9" s="6" t="s">
        <v>16</v>
      </c>
      <c r="G9" s="10" t="n">
        <v>1</v>
      </c>
      <c r="H9" s="9" t="s">
        <v>33</v>
      </c>
    </row>
    <row r="10" customFormat="false" ht="23.85" hidden="false" customHeight="false" outlineLevel="0" collapsed="false">
      <c r="A10" s="4" t="s">
        <v>34</v>
      </c>
      <c r="B10" s="5" t="s">
        <v>35</v>
      </c>
      <c r="C10" s="4" t="s">
        <v>36</v>
      </c>
      <c r="D10" s="4" t="s">
        <v>37</v>
      </c>
      <c r="E10" s="4" t="s">
        <v>38</v>
      </c>
      <c r="F10" s="6" t="s">
        <v>16</v>
      </c>
      <c r="G10" s="7" t="n">
        <v>1</v>
      </c>
      <c r="H10" s="5" t="s">
        <v>39</v>
      </c>
    </row>
    <row r="11" customFormat="false" ht="23.85" hidden="false" customHeight="false" outlineLevel="0" collapsed="false">
      <c r="A11" s="8" t="s">
        <v>40</v>
      </c>
      <c r="B11" s="9" t="s">
        <v>41</v>
      </c>
      <c r="C11" s="8" t="s">
        <v>13</v>
      </c>
      <c r="D11" s="8" t="s">
        <v>42</v>
      </c>
      <c r="E11" s="8" t="s">
        <v>43</v>
      </c>
      <c r="F11" s="6" t="s">
        <v>16</v>
      </c>
      <c r="G11" s="10" t="n">
        <v>1</v>
      </c>
      <c r="H11" s="9" t="s">
        <v>44</v>
      </c>
    </row>
    <row r="12" customFormat="false" ht="23.85" hidden="false" customHeight="false" outlineLevel="0" collapsed="false">
      <c r="A12" s="4" t="s">
        <v>45</v>
      </c>
      <c r="B12" s="5" t="s">
        <v>46</v>
      </c>
      <c r="C12" s="4" t="s">
        <v>47</v>
      </c>
      <c r="D12" s="4" t="s">
        <v>20</v>
      </c>
      <c r="E12" s="4" t="s">
        <v>48</v>
      </c>
      <c r="F12" s="6" t="s">
        <v>16</v>
      </c>
      <c r="G12" s="7" t="n">
        <v>1</v>
      </c>
      <c r="H12" s="5" t="s">
        <v>49</v>
      </c>
    </row>
    <row r="13" customFormat="false" ht="15" hidden="false" customHeight="false" outlineLevel="0" collapsed="false">
      <c r="A13" s="8" t="s">
        <v>50</v>
      </c>
      <c r="B13" s="9" t="s">
        <v>51</v>
      </c>
      <c r="C13" s="8" t="s">
        <v>36</v>
      </c>
      <c r="D13" s="8" t="s">
        <v>37</v>
      </c>
      <c r="E13" s="8" t="s">
        <v>21</v>
      </c>
      <c r="F13" s="6" t="s">
        <v>16</v>
      </c>
      <c r="G13" s="10" t="n">
        <v>1</v>
      </c>
      <c r="H13" s="9" t="s">
        <v>52</v>
      </c>
    </row>
    <row r="14" customFormat="false" ht="23.85" hidden="false" customHeight="false" outlineLevel="0" collapsed="false">
      <c r="A14" s="4" t="s">
        <v>53</v>
      </c>
      <c r="B14" s="5" t="s">
        <v>54</v>
      </c>
      <c r="C14" s="4" t="s">
        <v>36</v>
      </c>
      <c r="D14" s="4" t="s">
        <v>37</v>
      </c>
      <c r="E14" s="4" t="s">
        <v>55</v>
      </c>
      <c r="F14" s="6" t="s">
        <v>16</v>
      </c>
      <c r="G14" s="7" t="n">
        <v>1</v>
      </c>
      <c r="H14" s="5" t="s">
        <v>56</v>
      </c>
    </row>
    <row r="15" customFormat="false" ht="15" hidden="false" customHeight="false" outlineLevel="0" collapsed="false">
      <c r="A15" s="8" t="s">
        <v>57</v>
      </c>
      <c r="B15" s="9" t="s">
        <v>58</v>
      </c>
      <c r="C15" s="8" t="s">
        <v>30</v>
      </c>
      <c r="D15" s="8" t="s">
        <v>59</v>
      </c>
      <c r="E15" s="8" t="s">
        <v>60</v>
      </c>
      <c r="F15" s="6" t="s">
        <v>16</v>
      </c>
      <c r="G15" s="10" t="n">
        <v>1</v>
      </c>
      <c r="H15" s="9" t="s">
        <v>61</v>
      </c>
    </row>
    <row r="16" customFormat="false" ht="23.85" hidden="false" customHeight="false" outlineLevel="0" collapsed="false">
      <c r="A16" s="4" t="s">
        <v>62</v>
      </c>
      <c r="B16" s="5" t="s">
        <v>63</v>
      </c>
      <c r="C16" s="4" t="s">
        <v>30</v>
      </c>
      <c r="D16" s="4" t="s">
        <v>20</v>
      </c>
      <c r="E16" s="4" t="s">
        <v>64</v>
      </c>
      <c r="F16" s="6" t="s">
        <v>16</v>
      </c>
      <c r="G16" s="7" t="n">
        <v>1</v>
      </c>
      <c r="H16" s="5" t="s">
        <v>65</v>
      </c>
    </row>
    <row r="17" customFormat="false" ht="23.85" hidden="false" customHeight="false" outlineLevel="0" collapsed="false">
      <c r="A17" s="8" t="s">
        <v>66</v>
      </c>
      <c r="B17" s="9" t="s">
        <v>67</v>
      </c>
      <c r="C17" s="8" t="s">
        <v>68</v>
      </c>
      <c r="D17" s="8" t="s">
        <v>20</v>
      </c>
      <c r="E17" s="8" t="s">
        <v>69</v>
      </c>
      <c r="F17" s="11" t="s">
        <v>70</v>
      </c>
      <c r="G17" s="10" t="n">
        <v>0.8</v>
      </c>
      <c r="H17" s="9" t="s">
        <v>71</v>
      </c>
    </row>
    <row r="18" customFormat="false" ht="15" hidden="false" customHeight="false" outlineLevel="0" collapsed="false">
      <c r="A18" s="4" t="s">
        <v>72</v>
      </c>
      <c r="B18" s="5" t="s">
        <v>73</v>
      </c>
      <c r="C18" s="4" t="s">
        <v>36</v>
      </c>
      <c r="D18" s="4" t="s">
        <v>20</v>
      </c>
      <c r="E18" s="4" t="s">
        <v>74</v>
      </c>
      <c r="F18" s="11" t="s">
        <v>70</v>
      </c>
      <c r="G18" s="7" t="n">
        <v>0.5</v>
      </c>
      <c r="H18" s="5" t="s">
        <v>75</v>
      </c>
    </row>
    <row r="19" customFormat="false" ht="15" hidden="false" customHeight="false" outlineLevel="0" collapsed="false">
      <c r="A19" s="12"/>
      <c r="B19" s="13" t="s">
        <v>76</v>
      </c>
      <c r="C19" s="12"/>
      <c r="D19" s="12"/>
      <c r="E19" s="12"/>
      <c r="F19" s="12"/>
      <c r="G19" s="14" t="n">
        <f aca="false">AVERAGE(G6:G18)</f>
        <v>0.946153846153846</v>
      </c>
      <c r="H19" s="12"/>
    </row>
    <row r="20" customFormat="false" ht="15" hidden="false" customHeight="false" outlineLevel="0" collapsed="false">
      <c r="B20" s="15" t="s">
        <v>77</v>
      </c>
      <c r="G20" s="16" t="str">
        <f aca="false">COUNTIF(F6:F18,"Complete")&amp;" / "&amp;COUNTA(F6:F18)</f>
        <v>11 / 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26.8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</row>
    <row r="5" customFormat="false" ht="15" hidden="false" customHeight="false" outlineLevel="0" collapsed="false">
      <c r="A5" s="9" t="s">
        <v>84</v>
      </c>
      <c r="B5" s="17" t="n">
        <v>18500</v>
      </c>
      <c r="C5" s="17" t="n">
        <v>9600</v>
      </c>
      <c r="D5" s="9" t="s">
        <v>85</v>
      </c>
    </row>
    <row r="6" customFormat="false" ht="15" hidden="false" customHeight="false" outlineLevel="0" collapsed="false">
      <c r="A6" s="5" t="s">
        <v>86</v>
      </c>
      <c r="B6" s="18" t="n">
        <v>0</v>
      </c>
      <c r="C6" s="18" t="n">
        <v>46800</v>
      </c>
      <c r="D6" s="5" t="s">
        <v>87</v>
      </c>
    </row>
    <row r="7" customFormat="false" ht="15" hidden="false" customHeight="false" outlineLevel="0" collapsed="false">
      <c r="A7" s="9" t="s">
        <v>88</v>
      </c>
      <c r="B7" s="17" t="n">
        <v>0</v>
      </c>
      <c r="C7" s="17" t="n">
        <v>38400</v>
      </c>
      <c r="D7" s="9" t="s">
        <v>89</v>
      </c>
    </row>
    <row r="8" customFormat="false" ht="15" hidden="false" customHeight="false" outlineLevel="0" collapsed="false">
      <c r="A8" s="5" t="s">
        <v>90</v>
      </c>
      <c r="B8" s="18" t="n">
        <v>4200</v>
      </c>
      <c r="C8" s="18" t="n">
        <v>4200</v>
      </c>
      <c r="D8" s="5" t="s">
        <v>91</v>
      </c>
    </row>
    <row r="9" customFormat="false" ht="15" hidden="false" customHeight="false" outlineLevel="0" collapsed="false">
      <c r="A9" s="9" t="s">
        <v>92</v>
      </c>
      <c r="B9" s="17" t="n">
        <v>3100</v>
      </c>
      <c r="C9" s="17" t="n">
        <v>1500</v>
      </c>
      <c r="D9" s="9" t="s">
        <v>93</v>
      </c>
    </row>
    <row r="10" customFormat="false" ht="15" hidden="false" customHeight="false" outlineLevel="0" collapsed="false">
      <c r="A10" s="5" t="s">
        <v>94</v>
      </c>
      <c r="B10" s="18" t="n">
        <v>42000</v>
      </c>
      <c r="C10" s="18" t="n">
        <v>0</v>
      </c>
      <c r="D10" s="5" t="s">
        <v>95</v>
      </c>
    </row>
    <row r="11" customFormat="false" ht="15" hidden="false" customHeight="false" outlineLevel="0" collapsed="false">
      <c r="A11" s="9" t="s">
        <v>96</v>
      </c>
      <c r="B11" s="17" t="n">
        <v>0</v>
      </c>
      <c r="C11" s="17" t="n">
        <v>7200</v>
      </c>
      <c r="D11" s="9" t="s">
        <v>97</v>
      </c>
    </row>
    <row r="12" customFormat="false" ht="15" hidden="false" customHeight="false" outlineLevel="0" collapsed="false">
      <c r="A12" s="19" t="s">
        <v>98</v>
      </c>
      <c r="B12" s="20" t="n">
        <f aca="false">SUM(B5:B11)</f>
        <v>67800</v>
      </c>
      <c r="C12" s="20" t="n">
        <f aca="false">SUM(C5:C11)</f>
        <v>107700</v>
      </c>
      <c r="D12" s="21"/>
    </row>
    <row r="14" customFormat="false" ht="15" hidden="false" customHeight="false" outlineLevel="0" collapsed="false">
      <c r="A14" s="22" t="s">
        <v>99</v>
      </c>
      <c r="B14" s="23" t="n">
        <f aca="false">B12+C12</f>
        <v>175500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2026-06-29T22:11:55Z</dcterms:created>
  <dc:creator>openpyxl</dc:creator>
  <dc:description/>
  <dc:language>en-US</dc:language>
  <cp:lastModifiedBy/>
  <dcterms:modified xsi:type="dcterms:W3CDTF">2026-06-29T22:11:55Z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