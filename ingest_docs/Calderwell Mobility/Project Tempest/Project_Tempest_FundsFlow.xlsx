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unds Flow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<sst xmlns="http://schemas.openxmlformats.org/spreadsheetml/2006/main" count="34" uniqueCount="31">
  <si>
    <t xml:space="preserve">Project Tempest — Series B Completion Funds Flow Statement</t>
  </si>
  <si>
    <t xml:space="preserve">Calderwell Mobility Limited | Completion: 6 February 2026 | Prepared by Whitfield Carter LLP</t>
  </si>
  <si>
    <t xml:space="preserve">All amounts in GBP (£). Account details redacted for circulation.</t>
  </si>
  <si>
    <t xml:space="preserve">SOURCES OF FUNDS</t>
  </si>
  <si>
    <t xml:space="preserve">Payer</t>
  </si>
  <si>
    <t xml:space="preserve">Remitting account</t>
  </si>
  <si>
    <t xml:space="preserve">Purpose</t>
  </si>
  <si>
    <t xml:space="preserve">Amount (£)</t>
  </si>
  <si>
    <t xml:space="preserve">Marisdale Growth Partners LLP</t>
  </si>
  <si>
    <t xml:space="preserve">Marisdale Investments Nominee (acct ***4421)</t>
  </si>
  <si>
    <t xml:space="preserve">Subscription for 4,000,000 Series B Shares</t>
  </si>
  <si>
    <t xml:space="preserve">Westbridge Growth Capital LLP</t>
  </si>
  <si>
    <t xml:space="preserve">Westbridge GP Nominee (acct ***8830)</t>
  </si>
  <si>
    <t xml:space="preserve">Subscription for 2,000,000 Series B Shares</t>
  </si>
  <si>
    <t xml:space="preserve">TOTAL SOURCES</t>
  </si>
  <si>
    <t xml:space="preserve">USES OF FUNDS</t>
  </si>
  <si>
    <t xml:space="preserve">Payee</t>
  </si>
  <si>
    <t xml:space="preserve">Receiving account</t>
  </si>
  <si>
    <t xml:space="preserve">Whitfield Carter LLP</t>
  </si>
  <si>
    <t xml:space="preserve">Client account</t>
  </si>
  <si>
    <t xml:space="preserve">Company legal fees (capped contribution per cl. 12.2)</t>
  </si>
  <si>
    <t xml:space="preserve">Birchall Stone LLP</t>
  </si>
  <si>
    <t xml:space="preserve">Lead investor legal fees (Company contribution, capped)</t>
  </si>
  <si>
    <t xml:space="preserve">Marlow Tax &amp; Advisory Ltd</t>
  </si>
  <si>
    <t xml:space="preserve">Operating account</t>
  </si>
  <si>
    <t xml:space="preserve">Financial &amp; tax due diligence fees (Company)</t>
  </si>
  <si>
    <t xml:space="preserve">Calderwell Mobility Limited</t>
  </si>
  <si>
    <t xml:space="preserve">Company current account (acct ***1207)</t>
  </si>
  <si>
    <t xml:space="preserve">Net subscription proceeds to the Company</t>
  </si>
  <si>
    <t xml:space="preserve">TOTAL USES</t>
  </si>
  <si>
    <t xml:space="preserve">Check: Sources less Uses (must be nil)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</si>
</sst>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£#,##0"/>
    <numFmt numFmtId="166" formatCode="\£#,##0;&quot;(£&quot;#,##0\);\-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5F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5F"/>
        <bgColor rgb="FF333333"/>
      </patternFill>
    </fill>
    <fill>
      <patternFill patternType="solid">
        <fgColor rgb="FFF2D9A0"/>
        <bgColor rgb="FFFFFF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2D9A0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4E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40"/>
    <col collapsed="false" customWidth="true" hidden="false" outlineLevel="0" max="3" min="3" style="0" width="46"/>
    <col collapsed="false" customWidth="true" hidden="false" outlineLevel="0" max="4" min="4" style="0" width="1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3" t="s">
        <v>3</v>
      </c>
      <c r="B5" s="4"/>
      <c r="C5" s="4"/>
      <c r="D5" s="4"/>
    </row>
    <row r="6" customFormat="false" ht="15" hidden="false" customHeight="false" outlineLevel="0" collapsed="false">
      <c r="A6" s="5" t="s">
        <v>4</v>
      </c>
      <c r="B6" s="5" t="s">
        <v>5</v>
      </c>
      <c r="C6" s="5" t="s">
        <v>6</v>
      </c>
      <c r="D6" s="5" t="s">
        <v>7</v>
      </c>
    </row>
    <row r="7" customFormat="false" ht="15" hidden="false" customHeight="false" outlineLevel="0" collapsed="false">
      <c r="A7" s="6" t="s">
        <v>8</v>
      </c>
      <c r="B7" s="6" t="s">
        <v>9</v>
      </c>
      <c r="C7" s="6" t="s">
        <v>10</v>
      </c>
      <c r="D7" s="7" t="n">
        <v>12000000</v>
      </c>
    </row>
    <row r="8" customFormat="false" ht="15" hidden="false" customHeight="false" outlineLevel="0" collapsed="false">
      <c r="A8" s="6" t="s">
        <v>11</v>
      </c>
      <c r="B8" s="6" t="s">
        <v>12</v>
      </c>
      <c r="C8" s="6" t="s">
        <v>13</v>
      </c>
      <c r="D8" s="7" t="n">
        <v>6000000</v>
      </c>
    </row>
    <row r="9" customFormat="false" ht="15" hidden="false" customHeight="false" outlineLevel="0" collapsed="false">
      <c r="A9" s="8" t="s">
        <v>14</v>
      </c>
      <c r="B9" s="9"/>
      <c r="C9" s="9"/>
      <c r="D9" s="10" t="n">
        <f aca="false">SUM(D7:D8)</f>
        <v>18000000</v>
      </c>
    </row>
    <row r="11" customFormat="false" ht="15" hidden="false" customHeight="false" outlineLevel="0" collapsed="false">
      <c r="A11" s="3" t="s">
        <v>15</v>
      </c>
      <c r="B11" s="4"/>
      <c r="C11" s="4"/>
      <c r="D11" s="4"/>
    </row>
    <row r="12" customFormat="false" ht="15" hidden="false" customHeight="false" outlineLevel="0" collapsed="false">
      <c r="A12" s="5" t="s">
        <v>16</v>
      </c>
      <c r="B12" s="5" t="s">
        <v>17</v>
      </c>
      <c r="C12" s="5" t="s">
        <v>6</v>
      </c>
      <c r="D12" s="5" t="s">
        <v>7</v>
      </c>
    </row>
    <row r="13" customFormat="false" ht="15" hidden="false" customHeight="false" outlineLevel="0" collapsed="false">
      <c r="A13" s="6" t="s">
        <v>18</v>
      </c>
      <c r="B13" s="6" t="s">
        <v>19</v>
      </c>
      <c r="C13" s="6" t="s">
        <v>20</v>
      </c>
      <c r="D13" s="7" t="n">
        <v>75000</v>
      </c>
    </row>
    <row r="14" customFormat="false" ht="15" hidden="false" customHeight="false" outlineLevel="0" collapsed="false">
      <c r="A14" s="6" t="s">
        <v>21</v>
      </c>
      <c r="B14" s="6" t="s">
        <v>19</v>
      </c>
      <c r="C14" s="6" t="s">
        <v>22</v>
      </c>
      <c r="D14" s="7" t="n">
        <v>45000</v>
      </c>
    </row>
    <row r="15" customFormat="false" ht="15" hidden="false" customHeight="false" outlineLevel="0" collapsed="false">
      <c r="A15" s="6" t="s">
        <v>23</v>
      </c>
      <c r="B15" s="6" t="s">
        <v>24</v>
      </c>
      <c r="C15" s="6" t="s">
        <v>25</v>
      </c>
      <c r="D15" s="7" t="n">
        <v>30000</v>
      </c>
    </row>
    <row r="16" customFormat="false" ht="15" hidden="false" customHeight="false" outlineLevel="0" collapsed="false">
      <c r="A16" s="6" t="s">
        <v>26</v>
      </c>
      <c r="B16" s="6" t="s">
        <v>27</v>
      </c>
      <c r="C16" s="6" t="s">
        <v>28</v>
      </c>
      <c r="D16" s="11" t="n">
        <f aca="false">D9-SUM(D13:D15)</f>
        <v>17850000</v>
      </c>
    </row>
    <row r="17" customFormat="false" ht="15" hidden="false" customHeight="false" outlineLevel="0" collapsed="false">
      <c r="A17" s="8" t="s">
        <v>29</v>
      </c>
      <c r="B17" s="9"/>
      <c r="C17" s="9"/>
      <c r="D17" s="10" t="n">
        <f aca="false">SUM(D13:D16)</f>
        <v>18000000</v>
      </c>
    </row>
    <row r="19" customFormat="false" ht="15" hidden="false" customHeight="false" outlineLevel="0" collapsed="false">
      <c r="A19" s="12" t="s">
        <v>30</v>
      </c>
      <c r="D19" s="13" t="n">
        <f aca="false">D9-D17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2026-06-29T18:36:20Z</dcterms:created>
  <dc:creator>openpyxl</dc:creator>
  <dc:description/>
  <dc:language>en-US</dc:language>
  <cp:lastModifiedBy/>
  <dcterms:modified xsi:type="dcterms:W3CDTF">2026-06-29T18:36:20Z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