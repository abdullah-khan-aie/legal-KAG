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Money" sheetId="1" state="visible" r:id="rId3"/>
    <sheet name="Post-Money" sheetId="2" state="visible" r:id="rId4"/>
    <sheet name="Round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<sst xmlns="http://schemas.openxmlformats.org/spreadsheetml/2006/main" count="52" uniqueCount="33">
  <si>
    <t xml:space="preserve">Capitalisation Table — Pre-Money (Immediately Before Series B Completion)</t>
  </si>
  <si>
    <t xml:space="preserve">Calderwell Mobility Limited — Project Tempest</t>
  </si>
  <si>
    <t xml:space="preserve">All figures GBP. Series B price per share: £3.00</t>
  </si>
  <si>
    <t xml:space="preserve">Shareholder</t>
  </si>
  <si>
    <t xml:space="preserve">Class</t>
  </si>
  <si>
    <t xml:space="preserve">Shares</t>
  </si>
  <si>
    <t xml:space="preserve">% (fully diluted)</t>
  </si>
  <si>
    <t xml:space="preserve">Daniel Calderwell (Founder, CEO)</t>
  </si>
  <si>
    <t xml:space="preserve">Ordinary</t>
  </si>
  <si>
    <t xml:space="preserve">Sophie Lindqvist (Founder, CTO)</t>
  </si>
  <si>
    <t xml:space="preserve">Aldridge Seed LP</t>
  </si>
  <si>
    <t xml:space="preserve">Seed Preferred</t>
  </si>
  <si>
    <t xml:space="preserve">Calderbrook Growth Partners LLP</t>
  </si>
  <si>
    <t xml:space="preserve">Series A Preferred</t>
  </si>
  <si>
    <t xml:space="preserve">Employee Share Option Pool (reserved)</t>
  </si>
  <si>
    <t xml:space="preserve">Options/Reserved</t>
  </si>
  <si>
    <t xml:space="preserve">TOTAL</t>
  </si>
  <si>
    <t xml:space="preserve">Capitalisation Table — Post-Money (Immediately After Series B Completion)</t>
  </si>
  <si>
    <t xml:space="preserve">Investment (£)</t>
  </si>
  <si>
    <t xml:space="preserve">Marisdale Growth Partners LLP</t>
  </si>
  <si>
    <t xml:space="preserve">Series B Preferred</t>
  </si>
  <si>
    <t xml:space="preserve">Westbridge Growth Capital LLP</t>
  </si>
  <si>
    <t xml:space="preserve">Project Tempest — Series B Round Summary</t>
  </si>
  <si>
    <t xml:space="preserve">Pre-money valuation (£)</t>
  </si>
  <si>
    <t xml:space="preserve">New money raised (£)</t>
  </si>
  <si>
    <t xml:space="preserve">Post-money valuation (£)</t>
  </si>
  <si>
    <t xml:space="preserve">Series B price per share (£)</t>
  </si>
  <si>
    <t xml:space="preserve">New Series B shares issued</t>
  </si>
  <si>
    <t xml:space="preserve">Fully diluted shares pre-money</t>
  </si>
  <si>
    <t xml:space="preserve">Fully diluted shares post-money</t>
  </si>
  <si>
    <t xml:space="preserve">Lead investor (Marisdale) (£)</t>
  </si>
  <si>
    <t xml:space="preserve">Co-investor (Westbridge) (£)</t>
  </si>
  <si>
    <t xml:space="preserve">Lead investor ownership post-round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</si>
</sst>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£#,##0;&quot;(£&quot;#,##0\);\-"/>
    <numFmt numFmtId="168" formatCode="\£#,##0"/>
    <numFmt numFmtId="169" formatCode="\£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2D9A0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9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n">
        <v>4620000</v>
      </c>
      <c r="D6" s="7" t="n">
        <f aca="false">C6/$C$11</f>
        <v>0.33</v>
      </c>
    </row>
    <row r="7" customFormat="false" ht="15" hidden="false" customHeight="false" outlineLevel="0" collapsed="false">
      <c r="A7" s="5" t="s">
        <v>9</v>
      </c>
      <c r="B7" s="5" t="s">
        <v>8</v>
      </c>
      <c r="C7" s="6" t="n">
        <v>3780000</v>
      </c>
      <c r="D7" s="7" t="n">
        <f aca="false">C7/$C$11</f>
        <v>0.27</v>
      </c>
    </row>
    <row r="8" customFormat="false" ht="15" hidden="false" customHeight="false" outlineLevel="0" collapsed="false">
      <c r="A8" s="5" t="s">
        <v>10</v>
      </c>
      <c r="B8" s="5" t="s">
        <v>11</v>
      </c>
      <c r="C8" s="6" t="n">
        <v>1400000</v>
      </c>
      <c r="D8" s="7" t="n">
        <f aca="false">C8/$C$11</f>
        <v>0.1</v>
      </c>
    </row>
    <row r="9" customFormat="false" ht="15" hidden="false" customHeight="false" outlineLevel="0" collapsed="false">
      <c r="A9" s="5" t="s">
        <v>12</v>
      </c>
      <c r="B9" s="5" t="s">
        <v>13</v>
      </c>
      <c r="C9" s="6" t="n">
        <v>2800000</v>
      </c>
      <c r="D9" s="7" t="n">
        <f aca="false">C9/$C$11</f>
        <v>0.2</v>
      </c>
    </row>
    <row r="10" customFormat="false" ht="15" hidden="false" customHeight="false" outlineLevel="0" collapsed="false">
      <c r="A10" s="5" t="s">
        <v>14</v>
      </c>
      <c r="B10" s="5" t="s">
        <v>15</v>
      </c>
      <c r="C10" s="6" t="n">
        <v>1400000</v>
      </c>
      <c r="D10" s="7" t="n">
        <f aca="false">C10/$C$11</f>
        <v>0.1</v>
      </c>
    </row>
    <row r="11" customFormat="false" ht="15" hidden="false" customHeight="false" outlineLevel="0" collapsed="false">
      <c r="A11" s="8" t="s">
        <v>16</v>
      </c>
      <c r="B11" s="9"/>
      <c r="C11" s="10" t="n">
        <f aca="false">SUM(C6:C10)</f>
        <v>14000000</v>
      </c>
      <c r="D11" s="11" t="n">
        <f aca="false">SUM(D6:D10)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18</v>
      </c>
      <c r="E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n">
        <v>4620000</v>
      </c>
      <c r="D6" s="12"/>
      <c r="E6" s="7" t="n">
        <f aca="false">C6/$C$13</f>
        <v>0.231</v>
      </c>
    </row>
    <row r="7" customFormat="false" ht="15" hidden="false" customHeight="false" outlineLevel="0" collapsed="false">
      <c r="A7" s="5" t="s">
        <v>9</v>
      </c>
      <c r="B7" s="5" t="s">
        <v>8</v>
      </c>
      <c r="C7" s="6" t="n">
        <v>3780000</v>
      </c>
      <c r="D7" s="12"/>
      <c r="E7" s="7" t="n">
        <f aca="false">C7/$C$13</f>
        <v>0.189</v>
      </c>
    </row>
    <row r="8" customFormat="false" ht="15" hidden="false" customHeight="false" outlineLevel="0" collapsed="false">
      <c r="A8" s="5" t="s">
        <v>10</v>
      </c>
      <c r="B8" s="5" t="s">
        <v>11</v>
      </c>
      <c r="C8" s="6" t="n">
        <v>1400000</v>
      </c>
      <c r="D8" s="12"/>
      <c r="E8" s="7" t="n">
        <f aca="false">C8/$C$13</f>
        <v>0.07</v>
      </c>
    </row>
    <row r="9" customFormat="false" ht="15" hidden="false" customHeight="false" outlineLevel="0" collapsed="false">
      <c r="A9" s="5" t="s">
        <v>12</v>
      </c>
      <c r="B9" s="5" t="s">
        <v>13</v>
      </c>
      <c r="C9" s="6" t="n">
        <v>2800000</v>
      </c>
      <c r="D9" s="12"/>
      <c r="E9" s="7" t="n">
        <f aca="false">C9/$C$13</f>
        <v>0.14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13" t="n">
        <v>4000000</v>
      </c>
      <c r="D10" s="12" t="n">
        <v>12000000</v>
      </c>
      <c r="E10" s="7" t="n">
        <f aca="false">C10/$C$13</f>
        <v>0.2</v>
      </c>
    </row>
    <row r="11" customFormat="false" ht="15" hidden="false" customHeight="false" outlineLevel="0" collapsed="false">
      <c r="A11" s="5" t="s">
        <v>21</v>
      </c>
      <c r="B11" s="5" t="s">
        <v>20</v>
      </c>
      <c r="C11" s="13" t="n">
        <v>2000000</v>
      </c>
      <c r="D11" s="12" t="n">
        <v>6000000</v>
      </c>
      <c r="E11" s="7" t="n">
        <f aca="false">C11/$C$13</f>
        <v>0.1</v>
      </c>
    </row>
    <row r="12" customFormat="false" ht="15" hidden="false" customHeight="false" outlineLevel="0" collapsed="false">
      <c r="A12" s="5" t="s">
        <v>14</v>
      </c>
      <c r="B12" s="5" t="s">
        <v>15</v>
      </c>
      <c r="C12" s="6" t="n">
        <v>1400000</v>
      </c>
      <c r="D12" s="12"/>
      <c r="E12" s="7" t="n">
        <f aca="false">C12/$C$13</f>
        <v>0.07</v>
      </c>
    </row>
    <row r="13" customFormat="false" ht="15" hidden="false" customHeight="false" outlineLevel="0" collapsed="false">
      <c r="A13" s="8" t="s">
        <v>16</v>
      </c>
      <c r="B13" s="9"/>
      <c r="C13" s="10" t="n">
        <f aca="false">SUM(C6:C12)</f>
        <v>20000000</v>
      </c>
      <c r="D13" s="14" t="n">
        <f aca="false">SUM(D6:D12)</f>
        <v>18000000</v>
      </c>
      <c r="E13" s="11" t="n">
        <f aca="false">SUM(E6:E12)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3" t="s">
        <v>23</v>
      </c>
      <c r="B3" s="15" t="n">
        <v>42000000</v>
      </c>
    </row>
    <row r="4" customFormat="false" ht="15" hidden="false" customHeight="false" outlineLevel="0" collapsed="false">
      <c r="A4" s="3" t="s">
        <v>24</v>
      </c>
      <c r="B4" s="15" t="n">
        <v>18000000</v>
      </c>
    </row>
    <row r="5" customFormat="false" ht="15" hidden="false" customHeight="false" outlineLevel="0" collapsed="false">
      <c r="A5" s="3" t="s">
        <v>25</v>
      </c>
      <c r="B5" s="16" t="n">
        <f aca="false">B3+B4</f>
        <v>60000000</v>
      </c>
    </row>
    <row r="6" customFormat="false" ht="15" hidden="false" customHeight="false" outlineLevel="0" collapsed="false">
      <c r="A6" s="3" t="s">
        <v>26</v>
      </c>
      <c r="B6" s="17" t="n">
        <v>3</v>
      </c>
    </row>
    <row r="7" customFormat="false" ht="15" hidden="false" customHeight="false" outlineLevel="0" collapsed="false">
      <c r="A7" s="3" t="s">
        <v>27</v>
      </c>
      <c r="B7" s="18" t="n">
        <f aca="false">B4/B6</f>
        <v>6000000</v>
      </c>
    </row>
    <row r="8" customFormat="false" ht="15" hidden="false" customHeight="false" outlineLevel="0" collapsed="false">
      <c r="A8" s="3" t="s">
        <v>28</v>
      </c>
      <c r="B8" s="18" t="n">
        <f aca="false">B3/B6</f>
        <v>14000000</v>
      </c>
    </row>
    <row r="9" customFormat="false" ht="15" hidden="false" customHeight="false" outlineLevel="0" collapsed="false">
      <c r="A9" s="3" t="s">
        <v>29</v>
      </c>
      <c r="B9" s="18" t="n">
        <f aca="false">B8+B7</f>
        <v>20000000</v>
      </c>
    </row>
    <row r="10" customFormat="false" ht="15" hidden="false" customHeight="false" outlineLevel="0" collapsed="false">
      <c r="A10" s="3" t="s">
        <v>30</v>
      </c>
      <c r="B10" s="15" t="n">
        <v>12000000</v>
      </c>
    </row>
    <row r="11" customFormat="false" ht="15" hidden="false" customHeight="false" outlineLevel="0" collapsed="false">
      <c r="A11" s="3" t="s">
        <v>31</v>
      </c>
      <c r="B11" s="15" t="n">
        <v>6000000</v>
      </c>
    </row>
    <row r="12" customFormat="false" ht="15" hidden="false" customHeight="false" outlineLevel="0" collapsed="false">
      <c r="A12" s="3" t="s">
        <v>32</v>
      </c>
      <c r="B12" s="19" t="n">
        <f aca="false">B11/B6/B9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2026-06-29T18:35:47Z</dcterms:created>
  <dc:creator>openpyxl</dc:creator>
  <dc:description/>
  <dc:language>en-US</dc:language>
  <cp:lastModifiedBy/>
  <dcterms:modified xsi:type="dcterms:W3CDTF">2026-06-29T18:35:47Z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