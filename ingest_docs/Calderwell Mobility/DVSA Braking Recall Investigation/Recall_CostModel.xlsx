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odel" sheetId="1" state="visible" r:id="rId1"/>
    <sheet xmlns:r="http://schemas.openxmlformats.org/officeDocument/2006/relationships" name="Completio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i val="1"/>
      <color rgb="00777777"/>
      <sz val="9"/>
    </font>
    <font>
      <b val="1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4A6B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165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5" fontId="4" fillId="3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Calderwell Mobility Limited — CV-7 Safety Recall (R/2025/118)</t>
        </is>
      </c>
    </row>
    <row r="2">
      <c r="A2" s="2" t="inlineStr">
        <is>
          <t>Recall cost model — prepared by Whitfield Carter LLP with Calderwell Finance</t>
        </is>
      </c>
    </row>
    <row r="3">
      <c r="A3" s="3" t="inlineStr">
        <is>
          <t>Confidential and may be legally privileged</t>
        </is>
      </c>
    </row>
    <row r="5">
      <c r="A5" s="4" t="inlineStr">
        <is>
          <t>Key assumptions</t>
        </is>
      </c>
    </row>
    <row r="6">
      <c r="A6" s="5" t="inlineStr">
        <is>
          <t>Affected vehicles (total)</t>
        </is>
      </c>
      <c r="B6" s="6" t="n">
        <v>2140</v>
      </c>
    </row>
    <row r="7">
      <c r="A7" s="5" t="inlineStr">
        <is>
          <t xml:space="preserve">  OTA-capable vehicles</t>
        </is>
      </c>
      <c r="B7" s="6" t="n">
        <v>1520</v>
      </c>
    </row>
    <row r="8">
      <c r="A8" s="5" t="inlineStr">
        <is>
          <t xml:space="preserve">  Workshop-only vehicles</t>
        </is>
      </c>
      <c r="B8" s="6">
        <f>B6-B7</f>
        <v/>
      </c>
    </row>
    <row r="9">
      <c r="A9" s="5" t="inlineStr">
        <is>
          <t>OTA cost per vehicle (£)</t>
        </is>
      </c>
      <c r="B9" s="6" t="n">
        <v>8</v>
      </c>
    </row>
    <row r="10">
      <c r="A10" s="5" t="inlineStr">
        <is>
          <t>Workshop reflash cost per vehicle (£)</t>
        </is>
      </c>
      <c r="B10" s="6" t="n">
        <v>55</v>
      </c>
    </row>
    <row r="11">
      <c r="A11" s="5" t="inlineStr">
        <is>
          <t>Avg customer goodwill / downtime allowance per vehicle (£)</t>
        </is>
      </c>
      <c r="B11" s="6" t="n">
        <v>20</v>
      </c>
    </row>
    <row r="12">
      <c r="A12" s="5" t="inlineStr">
        <is>
          <t>Assumed completion rate (12 mo)</t>
        </is>
      </c>
      <c r="B12" s="7" t="n">
        <v>0.9</v>
      </c>
    </row>
    <row r="13">
      <c r="A13" s="5" t="inlineStr">
        <is>
          <t>Insurance recovery rate (recall-expense cover, net of excess)</t>
        </is>
      </c>
      <c r="B13" s="7" t="n">
        <v>0.55</v>
      </c>
    </row>
    <row r="14">
      <c r="A14" s="5" t="inlineStr">
        <is>
          <t>Policy excess (£)</t>
        </is>
      </c>
      <c r="B14" s="6" t="n">
        <v>75000</v>
      </c>
    </row>
    <row r="16">
      <c r="A16" s="4" t="inlineStr">
        <is>
          <t>Cost build (gross)</t>
        </is>
      </c>
    </row>
    <row r="17">
      <c r="A17" s="8" t="inlineStr">
        <is>
          <t>Cost line</t>
        </is>
      </c>
      <c r="B17" s="8" t="inlineStr">
        <is>
          <t>Basis</t>
        </is>
      </c>
      <c r="C17" s="8" t="inlineStr">
        <is>
          <t>Units</t>
        </is>
      </c>
      <c r="D17" s="8" t="inlineStr">
        <is>
          <t>Unit cost (£)</t>
        </is>
      </c>
      <c r="E17" s="8" t="inlineStr">
        <is>
          <t>Total (£)</t>
        </is>
      </c>
    </row>
    <row r="18">
      <c r="A18" s="5" t="inlineStr">
        <is>
          <t>OTA deployment</t>
        </is>
      </c>
      <c r="B18" s="5" t="inlineStr">
        <is>
          <t>OTA vehicles × completion</t>
        </is>
      </c>
      <c r="C18" s="6">
        <f>ROUND(B7*B12,0)</f>
        <v/>
      </c>
      <c r="D18" s="6">
        <f>B9</f>
        <v/>
      </c>
      <c r="E18" s="9">
        <f>C18*D18</f>
        <v/>
      </c>
    </row>
    <row r="19">
      <c r="A19" s="5" t="inlineStr">
        <is>
          <t>Workshop reflash</t>
        </is>
      </c>
      <c r="B19" s="5" t="inlineStr">
        <is>
          <t>Workshop vehicles × completion</t>
        </is>
      </c>
      <c r="C19" s="6">
        <f>ROUND(B8*B12,0)</f>
        <v/>
      </c>
      <c r="D19" s="6">
        <f>B10</f>
        <v/>
      </c>
      <c r="E19" s="9">
        <f>C19*D19</f>
        <v/>
      </c>
    </row>
    <row r="20">
      <c r="A20" s="5" t="inlineStr">
        <is>
          <t>Customer comms (print/postage/SMS)</t>
        </is>
      </c>
      <c r="B20" s="5" t="inlineStr">
        <is>
          <t>Per affected vehicle</t>
        </is>
      </c>
      <c r="C20" s="6">
        <f>B6</f>
        <v/>
      </c>
      <c r="D20" s="6">
        <f>2.5</f>
        <v/>
      </c>
      <c r="E20" s="9">
        <f>C20*D20</f>
        <v/>
      </c>
    </row>
    <row r="21">
      <c r="A21" s="5" t="inlineStr">
        <is>
          <t>Recall helpline &amp; admin (3 FTE, 6 mo)</t>
        </is>
      </c>
      <c r="B21" s="5" t="inlineStr">
        <is>
          <t>Fixed</t>
        </is>
      </c>
      <c r="C21" s="6" t="inlineStr">
        <is>
          <t>1</t>
        </is>
      </c>
      <c r="D21" s="6">
        <f>42000</f>
        <v/>
      </c>
      <c r="E21" s="9">
        <f>C21*D21</f>
        <v/>
      </c>
    </row>
    <row r="22">
      <c r="A22" s="5" t="inlineStr">
        <is>
          <t>Goodwill / downtime allowance</t>
        </is>
      </c>
      <c r="B22" s="5" t="inlineStr">
        <is>
          <t>Completed vehicles</t>
        </is>
      </c>
      <c r="C22" s="6">
        <f>ROUND(B6*B12,0)</f>
        <v/>
      </c>
      <c r="D22" s="6">
        <f>B11</f>
        <v/>
      </c>
      <c r="E22" s="9">
        <f>C22*D22</f>
        <v/>
      </c>
    </row>
    <row r="23">
      <c r="A23" s="5" t="inlineStr">
        <is>
          <t>Engineering — corrective build &amp; validation</t>
        </is>
      </c>
      <c r="B23" s="5" t="inlineStr">
        <is>
          <t>Fixed (capitalised separately, memo)</t>
        </is>
      </c>
      <c r="C23" s="6" t="inlineStr">
        <is>
          <t>1</t>
        </is>
      </c>
      <c r="D23" s="6">
        <f>68000</f>
        <v/>
      </c>
      <c r="E23" s="9">
        <f>C23*D23</f>
        <v/>
      </c>
    </row>
    <row r="24">
      <c r="A24" s="5" t="inlineStr">
        <is>
          <t>Legal &amp; regulatory (Whitfield Carter est.)</t>
        </is>
      </c>
      <c r="B24" s="5" t="inlineStr">
        <is>
          <t>Fixed</t>
        </is>
      </c>
      <c r="C24" s="6" t="inlineStr">
        <is>
          <t>1</t>
        </is>
      </c>
      <c r="D24" s="6">
        <f>58000</f>
        <v/>
      </c>
      <c r="E24" s="9">
        <f>C24*D24</f>
        <v/>
      </c>
    </row>
    <row r="25">
      <c r="A25" s="5" t="inlineStr">
        <is>
          <t>Contingency (8%)</t>
        </is>
      </c>
      <c r="B25" s="5" t="inlineStr">
        <is>
          <t>% of above</t>
        </is>
      </c>
      <c r="C25" s="6" t="inlineStr">
        <is>
          <t>1</t>
        </is>
      </c>
      <c r="D25" s="6">
        <f>ROUND(SUM(E18:E24)*0.08,0)</f>
        <v/>
      </c>
      <c r="E25" s="9">
        <f>C25*D25</f>
        <v/>
      </c>
    </row>
    <row r="26">
      <c r="A26" s="10" t="inlineStr">
        <is>
          <t>Gross recall cost</t>
        </is>
      </c>
      <c r="B26" s="5" t="n"/>
      <c r="C26" s="5" t="n"/>
      <c r="D26" s="5" t="n"/>
      <c r="E26" s="11">
        <f>SUM(E18:E25)</f>
        <v/>
      </c>
    </row>
    <row r="27">
      <c r="A27" s="5" t="inlineStr">
        <is>
          <t>Less: insurance recovery (rate × (gross − excess))</t>
        </is>
      </c>
      <c r="B27" s="5" t="n"/>
      <c r="C27" s="5" t="n"/>
      <c r="D27" s="5" t="n"/>
      <c r="E27" s="9">
        <f>-ROUND((E26-B14)*B13,0)</f>
        <v/>
      </c>
    </row>
    <row r="28">
      <c r="A28" s="10" t="inlineStr">
        <is>
          <t>Net cost to Company</t>
        </is>
      </c>
      <c r="B28" s="5" t="n"/>
      <c r="C28" s="5" t="n"/>
      <c r="D28" s="5" t="n"/>
      <c r="E28" s="11">
        <f>E26+E27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</cols>
  <sheetData>
    <row r="1">
      <c r="A1" s="12" t="inlineStr">
        <is>
          <t>CV-7 Recall R/2025/118 — completion tracker (by fleet / cohort)</t>
        </is>
      </c>
    </row>
    <row r="2">
      <c r="A2" s="2" t="inlineStr">
        <is>
          <t>Snapshot as at 8 December 2025 (3-month interim report to DVSA)</t>
        </is>
      </c>
    </row>
    <row r="4">
      <c r="A4" s="8" t="inlineStr">
        <is>
          <t>Cohort / fleet</t>
        </is>
      </c>
      <c r="B4" s="8" t="inlineStr">
        <is>
          <t>Method</t>
        </is>
      </c>
      <c r="C4" s="8" t="inlineStr">
        <is>
          <t>Affected</t>
        </is>
      </c>
      <c r="D4" s="8" t="inlineStr">
        <is>
          <t>Completed</t>
        </is>
      </c>
      <c r="E4" s="8" t="inlineStr">
        <is>
          <t>Outstanding</t>
        </is>
      </c>
      <c r="F4" s="8" t="inlineStr">
        <is>
          <t>Completion %</t>
        </is>
      </c>
    </row>
    <row r="5">
      <c r="A5" s="5" t="inlineStr">
        <is>
          <t>Brookmere Logistics</t>
        </is>
      </c>
      <c r="B5" s="5" t="inlineStr">
        <is>
          <t>OTA</t>
        </is>
      </c>
      <c r="C5" s="6" t="n">
        <v>412</v>
      </c>
      <c r="D5" s="6" t="n">
        <v>402</v>
      </c>
      <c r="E5" s="6">
        <f>C5-D5</f>
        <v/>
      </c>
      <c r="F5" s="13">
        <f>D5/C5</f>
        <v/>
      </c>
    </row>
    <row r="6">
      <c r="A6" s="5" t="inlineStr">
        <is>
          <t>Calderwell demonstrator fleet</t>
        </is>
      </c>
      <c r="B6" s="5" t="inlineStr">
        <is>
          <t>OTA</t>
        </is>
      </c>
      <c r="C6" s="6" t="n">
        <v>54</v>
      </c>
      <c r="D6" s="6" t="n">
        <v>54</v>
      </c>
      <c r="E6" s="6">
        <f>C6-D6</f>
        <v/>
      </c>
      <c r="F6" s="13">
        <f>D6/C6</f>
        <v/>
      </c>
    </row>
    <row r="7">
      <c r="A7" s="5" t="inlineStr">
        <is>
          <t>Greenway Couriers</t>
        </is>
      </c>
      <c r="B7" s="5" t="inlineStr">
        <is>
          <t>OTA</t>
        </is>
      </c>
      <c r="C7" s="6" t="n">
        <v>288</v>
      </c>
      <c r="D7" s="6" t="n">
        <v>250</v>
      </c>
      <c r="E7" s="6">
        <f>C7-D7</f>
        <v/>
      </c>
      <c r="F7" s="13">
        <f>D7/C7</f>
        <v/>
      </c>
    </row>
    <row r="8">
      <c r="A8" s="5" t="inlineStr">
        <is>
          <t>Metro Parcels</t>
        </is>
      </c>
      <c r="B8" s="5" t="inlineStr">
        <is>
          <t>Mixed</t>
        </is>
      </c>
      <c r="C8" s="6" t="n">
        <v>196</v>
      </c>
      <c r="D8" s="6" t="n">
        <v>150</v>
      </c>
      <c r="E8" s="6">
        <f>C8-D8</f>
        <v/>
      </c>
      <c r="F8" s="13">
        <f>D8/C8</f>
        <v/>
      </c>
    </row>
    <row r="9">
      <c r="A9" s="5" t="inlineStr">
        <is>
          <t>Other connected fleets/keepers</t>
        </is>
      </c>
      <c r="B9" s="5" t="inlineStr">
        <is>
          <t>OTA</t>
        </is>
      </c>
      <c r="C9" s="6" t="n">
        <v>570</v>
      </c>
      <c r="D9" s="6" t="n">
        <v>430</v>
      </c>
      <c r="E9" s="6">
        <f>C9-D9</f>
        <v/>
      </c>
      <c r="F9" s="13">
        <f>D9/C9</f>
        <v/>
      </c>
    </row>
    <row r="10">
      <c r="A10" s="5" t="inlineStr">
        <is>
          <t>Independent keepers (non-OTA)</t>
        </is>
      </c>
      <c r="B10" s="5" t="inlineStr">
        <is>
          <t>Workshop</t>
        </is>
      </c>
      <c r="C10" s="6" t="n">
        <v>340</v>
      </c>
      <c r="D10" s="6" t="n">
        <v>183</v>
      </c>
      <c r="E10" s="6">
        <f>C10-D10</f>
        <v/>
      </c>
      <c r="F10" s="13">
        <f>D10/C10</f>
        <v/>
      </c>
    </row>
    <row r="11">
      <c r="A11" s="5" t="inlineStr">
        <is>
          <t>Dealer/Company stock</t>
        </is>
      </c>
      <c r="B11" s="5" t="inlineStr">
        <is>
          <t>Workshop</t>
        </is>
      </c>
      <c r="C11" s="6" t="n">
        <v>280</v>
      </c>
      <c r="D11" s="6" t="n">
        <v>50</v>
      </c>
      <c r="E11" s="6">
        <f>C11-D11</f>
        <v/>
      </c>
      <c r="F11" s="13">
        <f>D11/C11</f>
        <v/>
      </c>
    </row>
    <row r="12">
      <c r="A12" s="14" t="inlineStr">
        <is>
          <t>TOTAL</t>
        </is>
      </c>
      <c r="B12" s="14" t="n"/>
      <c r="C12" s="15">
        <f>SUM(C5:C11)</f>
        <v/>
      </c>
      <c r="D12" s="15">
        <f>SUM(D5:D11)</f>
        <v/>
      </c>
      <c r="E12" s="15">
        <f>SUM(E5:E11)</f>
        <v/>
      </c>
      <c r="F12" s="16">
        <f>D12/C12</f>
        <v/>
      </c>
    </row>
    <row r="14">
      <c r="A14" t="inlineStr">
        <is>
          <t>12-month target completion rate</t>
        </is>
      </c>
      <c r="F14" s="1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2026-06-29T22:03:54Z</dcterms:created>
  <dcterms:modified xmlns:dcterms="http://purl.org/dc/terms/" xmlns:xsi="http://www.w3.org/2001/XMLSchema-instance" xsi:type="dcterms:W3CDTF">2026-06-29T22:03:54Z</dcterms:modified>
</cp:coreProperties>
</file>