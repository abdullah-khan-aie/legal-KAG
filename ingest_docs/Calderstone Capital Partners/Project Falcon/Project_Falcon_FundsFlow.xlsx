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<sst xmlns="http://schemas.openxmlformats.org/spreadsheetml/2006/main" count="33" uniqueCount="31">
  <si>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Project Falcon — Completion Funds Flow Statement</t>
  </si>
  <si>
    <t xml:space="preserve">Acquisition of Wren &amp; Hartley Limited by Falcon Bidco Limited</t>
  </si>
  <si>
    <t xml:space="preserve">Completion date: 27 February 2026. All amounts in GBP.</t>
  </si>
  <si>
    <t xml:space="preserve">SOURCES OF FUNDS</t>
  </si>
  <si>
    <t xml:space="preserve">Source</t>
  </si>
  <si>
    <t xml:space="preserve">Provider</t>
  </si>
  <si>
    <t xml:space="preserve">Amount</t>
  </si>
  <si>
    <t xml:space="preserve">Equity subscription</t>
  </si>
  <si>
    <t xml:space="preserve">Calderstone Capital Partners LLP (funds)</t>
  </si>
  <si>
    <t xml:space="preserve">Senior term facility</t>
  </si>
  <si>
    <t xml:space="preserve">Sterling Commercial Bank plc</t>
  </si>
  <si>
    <t xml:space="preserve">Total sources</t>
  </si>
  <si>
    <t xml:space="preserve">APPLICATION OF FUNDS</t>
  </si>
  <si>
    <t xml:space="preserve">Application</t>
  </si>
  <si>
    <t xml:space="preserve">Payee</t>
  </si>
  <si>
    <t xml:space="preserve">Consideration to Sellers (equity value less escrow)</t>
  </si>
  <si>
    <t xml:space="preserve">Castle &amp; Vane LLP client account</t>
  </si>
  <si>
    <t xml:space="preserve">Escrow retention</t>
  </si>
  <si>
    <t xml:space="preserve">Escrow Agent (18-month retention)</t>
  </si>
  <si>
    <t xml:space="preserve">Repayment of existing bank debt</t>
  </si>
  <si>
    <t xml:space="preserve">Company’s existing lender</t>
  </si>
  <si>
    <t xml:space="preserve">Buyer’s legal fees</t>
  </si>
  <si>
    <t xml:space="preserve">Whitfield Carter LLP</t>
  </si>
  <si>
    <t xml:space="preserve">Buyer’s financial &amp; tax DD fees</t>
  </si>
  <si>
    <t xml:space="preserve">Marlow Tax &amp; Advisory Ltd</t>
  </si>
  <si>
    <t xml:space="preserve">Bank arrangement &amp; security fees</t>
  </si>
  <si>
    <t xml:space="preserve">Stamp duty (0.5% of consideration)</t>
  </si>
  <si>
    <t xml:space="preserve">HMRC</t>
  </si>
  <si>
    <t xml:space="preserve">Total application</t>
  </si>
  <si>
    <t xml:space="preserve">Surplus / (shortfall)</t>
  </si>
  <si>
    <t xml:space="preserve">Note: equity value £44,600,000 = enterprise value £52,000,000 less estimated net debt £6,100,000 (per SPA cl.3 &amp; Schedule 7); £42,600,000 paid to Sellers plus £2,000,000 escrow.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</si>
</sst>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1"/>
      <color rgb="FF555555"/>
      <name val="Cambria"/>
      <family val="0"/>
      <charset val="1"/>
    </font>
    <font>
      <sz val="9"/>
      <color rgb="FF888888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888888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0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6" t="s">
        <v>4</v>
      </c>
      <c r="B6" s="7" t="s">
        <v>5</v>
      </c>
      <c r="C6" s="7" t="s">
        <v>6</v>
      </c>
    </row>
    <row r="7" customFormat="false" ht="15" hidden="false" customHeight="true" outlineLevel="0" collapsed="false">
      <c r="A7" s="8" t="s">
        <v>7</v>
      </c>
      <c r="B7" s="8" t="s">
        <v>8</v>
      </c>
      <c r="C7" s="9" t="n">
        <v>32600000</v>
      </c>
    </row>
    <row r="8" customFormat="false" ht="15" hidden="false" customHeight="true" outlineLevel="0" collapsed="false">
      <c r="A8" s="8" t="s">
        <v>9</v>
      </c>
      <c r="B8" s="8" t="s">
        <v>10</v>
      </c>
      <c r="C8" s="9" t="n">
        <v>14000000</v>
      </c>
    </row>
    <row r="9" customFormat="false" ht="15" hidden="false" customHeight="true" outlineLevel="0" collapsed="false">
      <c r="A9" s="10" t="s">
        <v>11</v>
      </c>
      <c r="B9" s="8"/>
      <c r="C9" s="11" t="n">
        <f aca="false">SUM(C7:C8)</f>
        <v>46600000</v>
      </c>
    </row>
    <row r="10" customFormat="false" ht="15" hidden="false" customHeight="true" outlineLevel="0" collapsed="false">
      <c r="A10" s="5" t="s">
        <v>12</v>
      </c>
    </row>
    <row r="11" customFormat="false" ht="15" hidden="false" customHeight="true" outlineLevel="0" collapsed="false">
      <c r="A11" s="6" t="s">
        <v>13</v>
      </c>
      <c r="B11" s="7" t="s">
        <v>14</v>
      </c>
      <c r="C11" s="7" t="s">
        <v>6</v>
      </c>
    </row>
    <row r="12" customFormat="false" ht="15" hidden="false" customHeight="true" outlineLevel="0" collapsed="false">
      <c r="A12" s="8" t="s">
        <v>15</v>
      </c>
      <c r="B12" s="8" t="s">
        <v>16</v>
      </c>
      <c r="C12" s="9" t="n">
        <v>42600000</v>
      </c>
    </row>
    <row r="13" customFormat="false" ht="15" hidden="false" customHeight="true" outlineLevel="0" collapsed="false">
      <c r="A13" s="8" t="s">
        <v>17</v>
      </c>
      <c r="B13" s="8" t="s">
        <v>18</v>
      </c>
      <c r="C13" s="9" t="n">
        <v>2000000</v>
      </c>
    </row>
    <row r="14" customFormat="false" ht="15" hidden="false" customHeight="true" outlineLevel="0" collapsed="false">
      <c r="A14" s="8" t="s">
        <v>19</v>
      </c>
      <c r="B14" s="8" t="s">
        <v>20</v>
      </c>
      <c r="C14" s="9" t="n">
        <v>1257000</v>
      </c>
    </row>
    <row r="15" customFormat="false" ht="15" hidden="false" customHeight="true" outlineLevel="0" collapsed="false">
      <c r="A15" s="8" t="s">
        <v>21</v>
      </c>
      <c r="B15" s="8" t="s">
        <v>22</v>
      </c>
      <c r="C15" s="9" t="n">
        <v>212000</v>
      </c>
    </row>
    <row r="16" customFormat="false" ht="15" hidden="false" customHeight="true" outlineLevel="0" collapsed="false">
      <c r="A16" s="8" t="s">
        <v>23</v>
      </c>
      <c r="B16" s="8" t="s">
        <v>24</v>
      </c>
      <c r="C16" s="9" t="n">
        <v>168000</v>
      </c>
    </row>
    <row r="17" customFormat="false" ht="15" hidden="false" customHeight="true" outlineLevel="0" collapsed="false">
      <c r="A17" s="8" t="s">
        <v>25</v>
      </c>
      <c r="B17" s="8" t="s">
        <v>10</v>
      </c>
      <c r="C17" s="9" t="n">
        <v>140000</v>
      </c>
    </row>
    <row r="18" customFormat="false" ht="15" hidden="false" customHeight="true" outlineLevel="0" collapsed="false">
      <c r="A18" s="8" t="s">
        <v>26</v>
      </c>
      <c r="B18" s="8" t="s">
        <v>27</v>
      </c>
      <c r="C18" s="9" t="n">
        <v>223000</v>
      </c>
    </row>
    <row r="19" customFormat="false" ht="15" hidden="false" customHeight="true" outlineLevel="0" collapsed="false">
      <c r="A19" s="10" t="s">
        <v>28</v>
      </c>
      <c r="B19" s="8"/>
      <c r="C19" s="11" t="n">
        <f aca="false">SUM(C12:C18)</f>
        <v>46600000</v>
      </c>
    </row>
    <row r="21" customFormat="false" ht="15" hidden="false" customHeight="true" outlineLevel="0" collapsed="false">
      <c r="A21" s="5" t="s">
        <v>29</v>
      </c>
      <c r="C21" s="12" t="n">
        <f aca="false">C9-C19</f>
        <v>0</v>
      </c>
    </row>
    <row r="23" customFormat="false" ht="15" hidden="false" customHeight="true" outlineLevel="0" collapsed="false">
      <c r="A23" s="1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2026-06-29T16:16:09Z</dcterms:created>
  <dc:creator>openpyxl</dc:creator>
  <dc:description/>
  <dc:language>en-US</dc:language>
  <cp:lastModifiedBy/>
  <dcterms:modified xsi:type="dcterms:W3CDTF">2026-06-29T16:17:14Z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