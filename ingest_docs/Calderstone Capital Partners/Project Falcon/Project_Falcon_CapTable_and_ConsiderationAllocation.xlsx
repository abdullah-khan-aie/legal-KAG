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o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<sst xmlns="http://schemas.openxmlformats.org/spreadsheetml/2006/main" count="20" uniqueCount="20">
  <si>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Project Falcon — Share Capital &amp; Consideration Allocation</t>
  </si>
  <si>
    <t xml:space="preserve">Wren &amp; Hartley Limited — entire issued share capital acquired by Falcon Bidco Limited</t>
  </si>
  <si>
    <t xml:space="preserve">Seller</t>
  </si>
  <si>
    <t xml:space="preserve">Shares held</t>
  </si>
  <si>
    <t xml:space="preserve">% holding</t>
  </si>
  <si>
    <t xml:space="preserve">Gross consideration</t>
  </si>
  <si>
    <t xml:space="preserve">Escrow contribution</t>
  </si>
  <si>
    <t xml:space="preserve">Net at completion</t>
  </si>
  <si>
    <t xml:space="preserve">Eleanor Wren</t>
  </si>
  <si>
    <t xml:space="preserve">James Hartley</t>
  </si>
  <si>
    <t xml:space="preserve">Trustees of the Wren Family Trust</t>
  </si>
  <si>
    <t xml:space="preserve">Total</t>
  </si>
  <si>
    <t xml:space="preserve">Consideration build-up</t>
  </si>
  <si>
    <t xml:space="preserve">Equity value (per SPA cl.3)</t>
  </si>
  <si>
    <t xml:space="preserve">Escrow retention rate</t>
  </si>
  <si>
    <t xml:space="preserve">Escrow amount</t>
  </si>
  <si>
    <t xml:space="preserve">  Enterprise value</t>
  </si>
  <si>
    <t xml:space="preserve">  less: estimated net debt</t>
  </si>
  <si>
    <t xml:space="preserve">  less: working-capital adjustment (est.)</t>
  </si>
  <si>
    <t xml:space="preserve">Note: equity value reconciles to the funds flow (£44,600,000 less escrow £2,000,000 = £42,600,000 paid at completion). EV/EBITDA implied ≈ 7.4x on FY25 adjusted EBITDA of £7.0m.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</si>
</sst>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8"/>
      <color rgb="FF888888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v>420000</v>
      </c>
      <c r="C5" s="7" t="n">
        <f aca="false">B5/$B$8</f>
        <v>0.42</v>
      </c>
      <c r="D5" s="8" t="n">
        <f aca="false">C5*$B$12</f>
        <v>18732000</v>
      </c>
      <c r="E5" s="8" t="n">
        <f aca="false">C5*$B$14</f>
        <v>840000</v>
      </c>
      <c r="F5" s="8" t="n">
        <f aca="false">D5-E5</f>
        <v>17892000</v>
      </c>
    </row>
    <row r="6" customFormat="false" ht="15" hidden="false" customHeight="false" outlineLevel="0" collapsed="false">
      <c r="A6" s="5" t="s">
        <v>9</v>
      </c>
      <c r="B6" s="6" t="n">
        <v>380000</v>
      </c>
      <c r="C6" s="7" t="n">
        <f aca="false">B6/$B$8</f>
        <v>0.38</v>
      </c>
      <c r="D6" s="8" t="n">
        <f aca="false">C6*$B$12</f>
        <v>16948000</v>
      </c>
      <c r="E6" s="8" t="n">
        <f aca="false">C6*$B$14</f>
        <v>760000</v>
      </c>
      <c r="F6" s="8" t="n">
        <f aca="false">D6-E6</f>
        <v>16188000</v>
      </c>
    </row>
    <row r="7" customFormat="false" ht="15" hidden="false" customHeight="false" outlineLevel="0" collapsed="false">
      <c r="A7" s="5" t="s">
        <v>10</v>
      </c>
      <c r="B7" s="6" t="n">
        <v>200000</v>
      </c>
      <c r="C7" s="7" t="n">
        <f aca="false">B7/$B$8</f>
        <v>0.2</v>
      </c>
      <c r="D7" s="8" t="n">
        <f aca="false">C7*$B$12</f>
        <v>8920000</v>
      </c>
      <c r="E7" s="8" t="n">
        <f aca="false">C7*$B$14</f>
        <v>400000</v>
      </c>
      <c r="F7" s="8" t="n">
        <f aca="false">D7-E7</f>
        <v>8520000</v>
      </c>
    </row>
    <row r="8" customFormat="false" ht="15" hidden="false" customHeight="false" outlineLevel="0" collapsed="false">
      <c r="A8" s="9" t="s">
        <v>11</v>
      </c>
      <c r="B8" s="10" t="n">
        <f aca="false">SUM(B5:B7)</f>
        <v>1000000</v>
      </c>
      <c r="C8" s="11" t="n">
        <f aca="false">SUM(C5:C7)</f>
        <v>1</v>
      </c>
      <c r="D8" s="12" t="n">
        <f aca="false">SUM(D5:D7)</f>
        <v>44600000</v>
      </c>
      <c r="E8" s="12" t="n">
        <f aca="false">SUM(E5:E7)</f>
        <v>2000000</v>
      </c>
      <c r="F8" s="12" t="n">
        <f aca="false">SUM(F5:F7)</f>
        <v>42600000</v>
      </c>
    </row>
    <row r="11" customFormat="false" ht="15" hidden="false" customHeight="false" outlineLevel="0" collapsed="false">
      <c r="A11" s="13" t="s">
        <v>12</v>
      </c>
    </row>
    <row r="12" customFormat="false" ht="15" hidden="false" customHeight="false" outlineLevel="0" collapsed="false">
      <c r="A12" s="0" t="s">
        <v>13</v>
      </c>
      <c r="B12" s="14" t="n">
        <f aca="false">B16+B17+B18</f>
        <v>44600000</v>
      </c>
    </row>
    <row r="13" customFormat="false" ht="15" hidden="false" customHeight="false" outlineLevel="0" collapsed="false">
      <c r="A13" s="0" t="s">
        <v>14</v>
      </c>
      <c r="B13" s="15" t="n">
        <f aca="false">B14/B12</f>
        <v>0.0448430493273543</v>
      </c>
    </row>
    <row r="14" customFormat="false" ht="15" hidden="false" customHeight="false" outlineLevel="0" collapsed="false">
      <c r="A14" s="0" t="s">
        <v>15</v>
      </c>
      <c r="B14" s="16" t="n">
        <v>2000000</v>
      </c>
    </row>
    <row r="16" customFormat="false" ht="15" hidden="false" customHeight="false" outlineLevel="0" collapsed="false">
      <c r="A16" s="0" t="s">
        <v>16</v>
      </c>
      <c r="B16" s="16" t="n">
        <v>52000000</v>
      </c>
    </row>
    <row r="17" customFormat="false" ht="15" hidden="false" customHeight="false" outlineLevel="0" collapsed="false">
      <c r="A17" s="0" t="s">
        <v>17</v>
      </c>
      <c r="B17" s="16" t="n">
        <v>-6100000</v>
      </c>
    </row>
    <row r="18" customFormat="false" ht="15" hidden="false" customHeight="false" outlineLevel="0" collapsed="false">
      <c r="A18" s="0" t="s">
        <v>18</v>
      </c>
      <c r="B18" s="16" t="n">
        <v>-1300000</v>
      </c>
    </row>
    <row r="20" customFormat="false" ht="15" hidden="false" customHeight="false" outlineLevel="0" collapsed="false">
      <c r="A20" s="1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2026-06-29T16:16:09Z</dcterms:created>
  <dc:creator>openpyxl</dc:creator>
  <dc:description/>
  <dc:language>en-US</dc:language>
  <cp:lastModifiedBy/>
  <dcterms:modified xsi:type="dcterms:W3CDTF">2026-06-29T16:16:09Z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