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<sst xmlns="http://schemas.openxmlformats.org/spreadsheetml/2006/main" count="59" uniqueCount="51">
  <si>
    <t xml:space="preserve">Bracken Coatings &amp; Surface Technologies Limited v Marldon Process Systems Limited</t>
  </si>
  <si>
    <t xml:space="preserve">Claim No. HT-2026-000214  —  SCHEDULE OF LOSS  —  as at 6 February 2026 (prepared by Whitfield Carter LLP)</t>
  </si>
  <si>
    <t xml:space="preserve">Item</t>
  </si>
  <si>
    <t xml:space="preserve">Head of loss</t>
  </si>
  <si>
    <t xml:space="preserve">Description / basis</t>
  </si>
  <si>
    <t xml:space="preserve">Qty</t>
  </si>
  <si>
    <t xml:space="preserve">Unit</t>
  </si>
  <si>
    <t xml:space="preserve">Unit cost (£)</t>
  </si>
  <si>
    <t xml:space="preserve">Amount (£)</t>
  </si>
  <si>
    <t xml:space="preserve">1. Remedial works to System</t>
  </si>
  <si>
    <t xml:space="preserve">Membrane module replacement (interim)</t>
  </si>
  <si>
    <t xml:space="preserve">Replacement UF modules during failure period</t>
  </si>
  <si>
    <t xml:space="preserve">set</t>
  </si>
  <si>
    <t xml:space="preserve">Permeate pump rebuilds / reseals</t>
  </si>
  <si>
    <t xml:space="preserve">Six pump interventions, parts &amp; labour</t>
  </si>
  <si>
    <t xml:space="preserve">event</t>
  </si>
  <si>
    <t xml:space="preserve">Emergency tankering of untreated effluent</t>
  </si>
  <si>
    <t xml:space="preserve">Licensed disposal during outages</t>
  </si>
  <si>
    <t xml:space="preserve">m3</t>
  </si>
  <si>
    <t xml:space="preserve">Bracken engineering labour (remedial)</t>
  </si>
  <si>
    <t xml:space="preserve">Internal labour at standard rate</t>
  </si>
  <si>
    <t xml:space="preserve">hr</t>
  </si>
  <si>
    <t xml:space="preserve">Third-party process support</t>
  </si>
  <si>
    <t xml:space="preserve">External process engineer call-outs</t>
  </si>
  <si>
    <t xml:space="preserve">sum</t>
  </si>
  <si>
    <t xml:space="preserve">Subtotal — Remedial works</t>
  </si>
  <si>
    <t xml:space="preserve">2. Replacement treatment system</t>
  </si>
  <si>
    <t xml:space="preserve">Severnvale MBR system - design &amp; supply</t>
  </si>
  <si>
    <t xml:space="preserve">Replacement turnkey system</t>
  </si>
  <si>
    <t xml:space="preserve">Installation &amp; commissioning</t>
  </si>
  <si>
    <t xml:space="preserve">Severnvale install contract</t>
  </si>
  <si>
    <t xml:space="preserve">Civils &amp; tie-in works</t>
  </si>
  <si>
    <t xml:space="preserve">Groundworks and pipework modifications</t>
  </si>
  <si>
    <t xml:space="preserve">Subtotal — Replacement system</t>
  </si>
  <si>
    <t xml:space="preserve">3. Lost production</t>
  </si>
  <si>
    <t xml:space="preserve">Line 1 downtime</t>
  </si>
  <si>
    <t xml:space="preserve">Lost contribution, recorded outage hours x margin</t>
  </si>
  <si>
    <t xml:space="preserve">Line 2 downtime</t>
  </si>
  <si>
    <t xml:space="preserve">Lost contribution incl. 9-day March outage</t>
  </si>
  <si>
    <t xml:space="preserve">Expedited/cover production premium</t>
  </si>
  <si>
    <t xml:space="preserve">Overtime &amp; subcontracted coating to meet orders</t>
  </si>
  <si>
    <t xml:space="preserve">Subtotal — Lost production</t>
  </si>
  <si>
    <t xml:space="preserve">4. Investigation costs</t>
  </si>
  <si>
    <t xml:space="preserve">Independent process engineer report</t>
  </si>
  <si>
    <t xml:space="preserve">Root-cause investigation</t>
  </si>
  <si>
    <t xml:space="preserve">Effluent sampling &amp; laboratory analysis</t>
  </si>
  <si>
    <t xml:space="preserve">COD/TSS testing programme</t>
  </si>
  <si>
    <t xml:space="preserve">Subtotal — Investigation costs</t>
  </si>
  <si>
    <t xml:space="preserve">TOTAL CLAIM (excl. interest)</t>
  </si>
  <si>
    <t xml:space="preserve">Interest (s.35A SCA 1981) — to be assessed</t>
  </si>
  <si>
    <t xml:space="preserve">Note: Heads 1 and 4 are evidenced by third-party invoices; head 3 is calculated from line-output records and standard contribution margins.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</si>
</sst>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CE4D6"/>
      </patternFill>
    </fill>
    <fill>
      <patternFill patternType="solid">
        <fgColor rgb="FFFCE4D6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5" min="4" style="0" width="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/>
      <c r="B5" s="5" t="s">
        <v>9</v>
      </c>
      <c r="C5" s="4"/>
      <c r="D5" s="4"/>
      <c r="E5" s="4"/>
      <c r="F5" s="4"/>
      <c r="G5" s="4"/>
    </row>
    <row r="6" customFormat="false" ht="15" hidden="false" customHeight="false" outlineLevel="0" collapsed="false">
      <c r="A6" s="6"/>
      <c r="B6" s="7" t="s">
        <v>10</v>
      </c>
      <c r="C6" s="7" t="s">
        <v>11</v>
      </c>
      <c r="D6" s="7" t="n">
        <v>4</v>
      </c>
      <c r="E6" s="7" t="s">
        <v>12</v>
      </c>
      <c r="F6" s="8" t="n">
        <v>38500</v>
      </c>
      <c r="G6" s="8" t="n">
        <f aca="false">D6*F6</f>
        <v>154000</v>
      </c>
    </row>
    <row r="7" customFormat="false" ht="15" hidden="false" customHeight="false" outlineLevel="0" collapsed="false">
      <c r="A7" s="6"/>
      <c r="B7" s="7" t="s">
        <v>13</v>
      </c>
      <c r="C7" s="7" t="s">
        <v>14</v>
      </c>
      <c r="D7" s="7" t="n">
        <v>6</v>
      </c>
      <c r="E7" s="7" t="s">
        <v>15</v>
      </c>
      <c r="F7" s="8" t="n">
        <v>9800</v>
      </c>
      <c r="G7" s="8" t="n">
        <f aca="false">D7*F7</f>
        <v>58800</v>
      </c>
    </row>
    <row r="8" customFormat="false" ht="15" hidden="false" customHeight="false" outlineLevel="0" collapsed="false">
      <c r="A8" s="6"/>
      <c r="B8" s="7" t="s">
        <v>16</v>
      </c>
      <c r="C8" s="7" t="s">
        <v>17</v>
      </c>
      <c r="D8" s="7" t="n">
        <v>1180</v>
      </c>
      <c r="E8" s="7" t="s">
        <v>18</v>
      </c>
      <c r="F8" s="8" t="n">
        <v>165</v>
      </c>
      <c r="G8" s="8" t="n">
        <f aca="false">D8*F8</f>
        <v>194700</v>
      </c>
    </row>
    <row r="9" customFormat="false" ht="15" hidden="false" customHeight="false" outlineLevel="0" collapsed="false">
      <c r="A9" s="6"/>
      <c r="B9" s="7" t="s">
        <v>19</v>
      </c>
      <c r="C9" s="7" t="s">
        <v>20</v>
      </c>
      <c r="D9" s="7" t="n">
        <v>1640</v>
      </c>
      <c r="E9" s="7" t="s">
        <v>21</v>
      </c>
      <c r="F9" s="8" t="n">
        <v>78</v>
      </c>
      <c r="G9" s="8" t="n">
        <f aca="false">D9*F9</f>
        <v>127920</v>
      </c>
    </row>
    <row r="10" customFormat="false" ht="15" hidden="false" customHeight="false" outlineLevel="0" collapsed="false">
      <c r="A10" s="6"/>
      <c r="B10" s="7" t="s">
        <v>22</v>
      </c>
      <c r="C10" s="7" t="s">
        <v>23</v>
      </c>
      <c r="D10" s="7" t="n">
        <v>1</v>
      </c>
      <c r="E10" s="7" t="s">
        <v>24</v>
      </c>
      <c r="F10" s="8" t="n">
        <v>106580</v>
      </c>
      <c r="G10" s="8" t="n">
        <f aca="false">F10</f>
        <v>106580</v>
      </c>
    </row>
    <row r="11" customFormat="false" ht="15" hidden="false" customHeight="false" outlineLevel="0" collapsed="false">
      <c r="A11" s="4"/>
      <c r="B11" s="5" t="s">
        <v>25</v>
      </c>
      <c r="C11" s="4"/>
      <c r="D11" s="4"/>
      <c r="E11" s="4"/>
      <c r="F11" s="4"/>
      <c r="G11" s="9" t="n">
        <f aca="false">SUM(G6:G10)</f>
        <v>642000</v>
      </c>
    </row>
    <row r="13" customFormat="false" ht="15" hidden="false" customHeight="false" outlineLevel="0" collapsed="false">
      <c r="A13" s="4"/>
      <c r="B13" s="5" t="s">
        <v>26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A14" s="6"/>
      <c r="B14" s="7" t="s">
        <v>27</v>
      </c>
      <c r="C14" s="7" t="s">
        <v>28</v>
      </c>
      <c r="D14" s="7" t="n">
        <v>1</v>
      </c>
      <c r="E14" s="7" t="s">
        <v>24</v>
      </c>
      <c r="F14" s="8" t="n">
        <v>712000</v>
      </c>
      <c r="G14" s="8" t="n">
        <f aca="false">F14</f>
        <v>712000</v>
      </c>
    </row>
    <row r="15" customFormat="false" ht="15" hidden="false" customHeight="false" outlineLevel="0" collapsed="false">
      <c r="A15" s="6"/>
      <c r="B15" s="7" t="s">
        <v>29</v>
      </c>
      <c r="C15" s="7" t="s">
        <v>30</v>
      </c>
      <c r="D15" s="7" t="n">
        <v>1</v>
      </c>
      <c r="E15" s="7" t="s">
        <v>24</v>
      </c>
      <c r="F15" s="8" t="n">
        <v>158000</v>
      </c>
      <c r="G15" s="8" t="n">
        <f aca="false">F15</f>
        <v>158000</v>
      </c>
    </row>
    <row r="16" customFormat="false" ht="15" hidden="false" customHeight="false" outlineLevel="0" collapsed="false">
      <c r="A16" s="6"/>
      <c r="B16" s="7" t="s">
        <v>31</v>
      </c>
      <c r="C16" s="7" t="s">
        <v>32</v>
      </c>
      <c r="D16" s="7" t="n">
        <v>1</v>
      </c>
      <c r="E16" s="7" t="s">
        <v>24</v>
      </c>
      <c r="F16" s="8" t="n">
        <v>45000</v>
      </c>
      <c r="G16" s="8" t="n">
        <f aca="false">F16</f>
        <v>45000</v>
      </c>
    </row>
    <row r="17" customFormat="false" ht="15" hidden="false" customHeight="false" outlineLevel="0" collapsed="false">
      <c r="A17" s="4"/>
      <c r="B17" s="5" t="s">
        <v>33</v>
      </c>
      <c r="C17" s="4"/>
      <c r="D17" s="4"/>
      <c r="E17" s="4"/>
      <c r="F17" s="4"/>
      <c r="G17" s="9" t="n">
        <f aca="false">SUM(G14:G16)</f>
        <v>915000</v>
      </c>
    </row>
    <row r="19" customFormat="false" ht="15" hidden="false" customHeight="false" outlineLevel="0" collapsed="false">
      <c r="A19" s="4"/>
      <c r="B19" s="5" t="s">
        <v>34</v>
      </c>
      <c r="C19" s="4"/>
      <c r="D19" s="4"/>
      <c r="E19" s="4"/>
      <c r="F19" s="4"/>
      <c r="G19" s="4"/>
    </row>
    <row r="20" customFormat="false" ht="15" hidden="false" customHeight="false" outlineLevel="0" collapsed="false">
      <c r="A20" s="6"/>
      <c r="B20" s="7" t="s">
        <v>35</v>
      </c>
      <c r="C20" s="7" t="s">
        <v>36</v>
      </c>
      <c r="D20" s="7" t="n">
        <v>612</v>
      </c>
      <c r="E20" s="7" t="s">
        <v>21</v>
      </c>
      <c r="F20" s="8" t="n">
        <v>410</v>
      </c>
      <c r="G20" s="8" t="n">
        <f aca="false">D20*F20</f>
        <v>250920</v>
      </c>
    </row>
    <row r="21" customFormat="false" ht="15" hidden="false" customHeight="false" outlineLevel="0" collapsed="false">
      <c r="A21" s="6"/>
      <c r="B21" s="7" t="s">
        <v>37</v>
      </c>
      <c r="C21" s="7" t="s">
        <v>38</v>
      </c>
      <c r="D21" s="7" t="n">
        <v>742</v>
      </c>
      <c r="E21" s="7" t="s">
        <v>21</v>
      </c>
      <c r="F21" s="8" t="n">
        <v>410</v>
      </c>
      <c r="G21" s="8" t="n">
        <f aca="false">D21*F21</f>
        <v>304220</v>
      </c>
    </row>
    <row r="22" customFormat="false" ht="15" hidden="false" customHeight="false" outlineLevel="0" collapsed="false">
      <c r="A22" s="6"/>
      <c r="B22" s="7" t="s">
        <v>39</v>
      </c>
      <c r="C22" s="7" t="s">
        <v>40</v>
      </c>
      <c r="D22" s="7" t="n">
        <v>1</v>
      </c>
      <c r="E22" s="7" t="s">
        <v>24</v>
      </c>
      <c r="F22" s="8" t="n">
        <v>2860</v>
      </c>
      <c r="G22" s="8" t="n">
        <f aca="false">F22</f>
        <v>2860</v>
      </c>
    </row>
    <row r="23" customFormat="false" ht="15" hidden="false" customHeight="false" outlineLevel="0" collapsed="false">
      <c r="A23" s="4"/>
      <c r="B23" s="5" t="s">
        <v>41</v>
      </c>
      <c r="C23" s="4"/>
      <c r="D23" s="4"/>
      <c r="E23" s="4"/>
      <c r="F23" s="4"/>
      <c r="G23" s="9" t="n">
        <f aca="false">SUM(G20:G22)</f>
        <v>558000</v>
      </c>
    </row>
    <row r="25" customFormat="false" ht="15" hidden="false" customHeight="false" outlineLevel="0" collapsed="false">
      <c r="A25" s="4"/>
      <c r="B25" s="5" t="s">
        <v>42</v>
      </c>
      <c r="C25" s="4"/>
      <c r="D25" s="4"/>
      <c r="E25" s="4"/>
      <c r="F25" s="4"/>
      <c r="G25" s="4"/>
    </row>
    <row r="26" customFormat="false" ht="15" hidden="false" customHeight="false" outlineLevel="0" collapsed="false">
      <c r="A26" s="6"/>
      <c r="B26" s="7" t="s">
        <v>43</v>
      </c>
      <c r="C26" s="7" t="s">
        <v>44</v>
      </c>
      <c r="D26" s="7" t="n">
        <v>1</v>
      </c>
      <c r="E26" s="7" t="s">
        <v>24</v>
      </c>
      <c r="F26" s="8" t="n">
        <v>34000</v>
      </c>
      <c r="G26" s="8" t="n">
        <f aca="false">F26</f>
        <v>34000</v>
      </c>
    </row>
    <row r="27" customFormat="false" ht="15" hidden="false" customHeight="false" outlineLevel="0" collapsed="false">
      <c r="A27" s="6"/>
      <c r="B27" s="7" t="s">
        <v>45</v>
      </c>
      <c r="C27" s="7" t="s">
        <v>46</v>
      </c>
      <c r="D27" s="7" t="n">
        <v>1</v>
      </c>
      <c r="E27" s="7" t="s">
        <v>24</v>
      </c>
      <c r="F27" s="8" t="n">
        <v>16000</v>
      </c>
      <c r="G27" s="8" t="n">
        <f aca="false">F27</f>
        <v>16000</v>
      </c>
    </row>
    <row r="28" customFormat="false" ht="15" hidden="false" customHeight="false" outlineLevel="0" collapsed="false">
      <c r="A28" s="4"/>
      <c r="B28" s="5" t="s">
        <v>47</v>
      </c>
      <c r="C28" s="4"/>
      <c r="D28" s="4"/>
      <c r="E28" s="4"/>
      <c r="F28" s="4"/>
      <c r="G28" s="9" t="n">
        <f aca="false">SUM(G26:G27)</f>
        <v>50000</v>
      </c>
    </row>
    <row r="30" customFormat="false" ht="15" hidden="false" customHeight="false" outlineLevel="0" collapsed="false">
      <c r="A30" s="10"/>
      <c r="B30" s="11" t="s">
        <v>48</v>
      </c>
      <c r="C30" s="10"/>
      <c r="D30" s="10"/>
      <c r="E30" s="10"/>
      <c r="F30" s="10"/>
      <c r="G30" s="12" t="n">
        <f aca="false">G11+G17+G23+G28</f>
        <v>2165000</v>
      </c>
    </row>
    <row r="31" customFormat="false" ht="15" hidden="false" customHeight="false" outlineLevel="0" collapsed="false">
      <c r="B31" s="2" t="s">
        <v>49</v>
      </c>
    </row>
    <row r="33" customFormat="false" ht="15" hidden="false" customHeight="false" outlineLevel="0" collapsed="false">
      <c r="B33" s="1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2026-06-29T12:24:46Z</dcterms:created>
  <dc:creator>openpyxl</dc:creator>
  <dc:description/>
  <dc:language>en-US</dc:language>
  <cp:lastModifiedBy/>
  <dcterms:modified xsi:type="dcterms:W3CDTF">2026-06-29T12:24:46Z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