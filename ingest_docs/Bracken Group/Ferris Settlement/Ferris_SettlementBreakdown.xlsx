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lement Breakdow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<sst xmlns="http://schemas.openxmlformats.org/spreadsheetml/2006/main" count="25" uniqueCount="25">
  <si>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WC-00130 Hartnell — Settlement Cost to Company</t>
  </si>
  <si>
    <t xml:space="preserve">Agreed settlement total £247,500. PAYE applied to taxable element. Figures GBP.</t>
  </si>
  <si>
    <t xml:space="preserve">Inputs</t>
  </si>
  <si>
    <t xml:space="preserve">Total settlement (inclusive)</t>
  </si>
  <si>
    <t xml:space="preserve">Tax-free element (ss.401–403 ITEPA)</t>
  </si>
  <si>
    <t xml:space="preserve">Income tax rate (marginal, est.)</t>
  </si>
  <si>
    <t xml:space="preserve">Employee NIC rate (above UEL)</t>
  </si>
  <si>
    <t xml:space="preserve">Employer NIC rate</t>
  </si>
  <si>
    <t xml:space="preserve">Employer NIC threshold on termination</t>
  </si>
  <si>
    <t xml:space="preserve">Legal fee contribution (ex VAT)</t>
  </si>
  <si>
    <t xml:space="preserve">VAT rate</t>
  </si>
  <si>
    <t xml:space="preserve">PMI continuation cost (6 months)</t>
  </si>
  <si>
    <t xml:space="preserve">Component</t>
  </si>
  <si>
    <t xml:space="preserve">Gross</t>
  </si>
  <si>
    <t xml:space="preserve">Deductions</t>
  </si>
  <si>
    <t xml:space="preserve">Net / Cost</t>
  </si>
  <si>
    <t xml:space="preserve">Tax-free termination payment</t>
  </si>
  <si>
    <t xml:space="preserve">Taxable ex-gratia / PILON element</t>
  </si>
  <si>
    <t xml:space="preserve">Net amount received by employee</t>
  </si>
  <si>
    <t xml:space="preserve">Cost to Company</t>
  </si>
  <si>
    <t xml:space="preserve">Settlement total</t>
  </si>
  <si>
    <t xml:space="preserve">Employer NIC on taxable element above threshold</t>
  </si>
  <si>
    <t xml:space="preserve">Legal fee contribution incl. VAT</t>
  </si>
  <si>
    <t xml:space="preserve">PMI continuation (6 months)</t>
  </si>
  <si>
    <t xml:space="preserve">TOTAL COST TO COMPANY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</si>
</sst>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5" min="3" style="0" width="16"/>
    <col collapsed="false" customWidth="true" hidden="false" outlineLevel="0" max="6" min="6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  <c r="F4" s="4"/>
    </row>
    <row r="5" customFormat="false" ht="15" hidden="false" customHeight="false" outlineLevel="0" collapsed="false">
      <c r="B5" s="5" t="s">
        <v>3</v>
      </c>
      <c r="C5" s="6" t="n">
        <v>247500</v>
      </c>
    </row>
    <row r="6" customFormat="false" ht="15" hidden="false" customHeight="false" outlineLevel="0" collapsed="false">
      <c r="B6" s="5" t="s">
        <v>4</v>
      </c>
      <c r="C6" s="6" t="n">
        <v>30000</v>
      </c>
    </row>
    <row r="7" customFormat="false" ht="15" hidden="false" customHeight="false" outlineLevel="0" collapsed="false">
      <c r="B7" s="5" t="s">
        <v>5</v>
      </c>
      <c r="C7" s="7" t="n">
        <v>0.45</v>
      </c>
    </row>
    <row r="8" customFormat="false" ht="15" hidden="false" customHeight="false" outlineLevel="0" collapsed="false">
      <c r="B8" s="5" t="s">
        <v>6</v>
      </c>
      <c r="C8" s="7" t="n">
        <v>0.02</v>
      </c>
    </row>
    <row r="9" customFormat="false" ht="15" hidden="false" customHeight="false" outlineLevel="0" collapsed="false">
      <c r="B9" s="5" t="s">
        <v>7</v>
      </c>
      <c r="C9" s="7" t="n">
        <v>0.138</v>
      </c>
    </row>
    <row r="10" customFormat="false" ht="15" hidden="false" customHeight="false" outlineLevel="0" collapsed="false">
      <c r="B10" s="5" t="s">
        <v>8</v>
      </c>
      <c r="C10" s="6" t="n">
        <v>30000</v>
      </c>
    </row>
    <row r="11" customFormat="false" ht="15" hidden="false" customHeight="false" outlineLevel="0" collapsed="false">
      <c r="B11" s="5" t="s">
        <v>9</v>
      </c>
      <c r="C11" s="6" t="n">
        <v>1500</v>
      </c>
    </row>
    <row r="12" customFormat="false" ht="15" hidden="false" customHeight="false" outlineLevel="0" collapsed="false">
      <c r="B12" s="5" t="s">
        <v>10</v>
      </c>
      <c r="C12" s="7" t="n">
        <v>0.2</v>
      </c>
    </row>
    <row r="13" customFormat="false" ht="15" hidden="false" customHeight="false" outlineLevel="0" collapsed="false">
      <c r="B13" s="5" t="s">
        <v>11</v>
      </c>
      <c r="C13" s="6" t="n">
        <v>1860</v>
      </c>
    </row>
    <row r="15" customFormat="false" ht="15" hidden="false" customHeight="false" outlineLevel="0" collapsed="false">
      <c r="B15" s="8" t="s">
        <v>12</v>
      </c>
      <c r="C15" s="8"/>
      <c r="D15" s="8" t="s">
        <v>13</v>
      </c>
      <c r="E15" s="8" t="s">
        <v>14</v>
      </c>
      <c r="F15" s="8" t="s">
        <v>15</v>
      </c>
    </row>
    <row r="16" customFormat="false" ht="15" hidden="false" customHeight="false" outlineLevel="0" collapsed="false">
      <c r="B16" s="5" t="s">
        <v>16</v>
      </c>
      <c r="C16" s="9"/>
      <c r="D16" s="10" t="n">
        <f aca="false">C6</f>
        <v>30000</v>
      </c>
      <c r="E16" s="11" t="n">
        <v>0</v>
      </c>
      <c r="F16" s="10" t="n">
        <f aca="false">D16-E16</f>
        <v>30000</v>
      </c>
    </row>
    <row r="17" customFormat="false" ht="15" hidden="false" customHeight="false" outlineLevel="0" collapsed="false">
      <c r="B17" s="5" t="s">
        <v>17</v>
      </c>
      <c r="C17" s="9"/>
      <c r="D17" s="10" t="n">
        <f aca="false">C5-C6</f>
        <v>217500</v>
      </c>
      <c r="E17" s="10" t="n">
        <f aca="false">D17*C7+D17*C8</f>
        <v>102225</v>
      </c>
      <c r="F17" s="10" t="n">
        <f aca="false">D17-E17</f>
        <v>115275</v>
      </c>
    </row>
    <row r="18" customFormat="false" ht="15" hidden="false" customHeight="false" outlineLevel="0" collapsed="false">
      <c r="B18" s="12" t="s">
        <v>18</v>
      </c>
      <c r="C18" s="13"/>
      <c r="D18" s="13"/>
      <c r="E18" s="13"/>
      <c r="F18" s="14" t="n">
        <f aca="false">F16+F17</f>
        <v>145275</v>
      </c>
    </row>
    <row r="20" customFormat="false" ht="15" hidden="false" customHeight="false" outlineLevel="0" collapsed="false">
      <c r="B20" s="3" t="s">
        <v>19</v>
      </c>
      <c r="C20" s="4"/>
      <c r="D20" s="4"/>
      <c r="E20" s="4"/>
      <c r="F20" s="4"/>
    </row>
    <row r="21" customFormat="false" ht="15" hidden="false" customHeight="false" outlineLevel="0" collapsed="false">
      <c r="B21" s="5" t="s">
        <v>20</v>
      </c>
      <c r="C21" s="9"/>
      <c r="D21" s="9"/>
      <c r="E21" s="9"/>
      <c r="F21" s="10" t="n">
        <f aca="false">C5</f>
        <v>247500</v>
      </c>
    </row>
    <row r="22" customFormat="false" ht="15" hidden="false" customHeight="false" outlineLevel="0" collapsed="false">
      <c r="B22" s="5" t="s">
        <v>21</v>
      </c>
      <c r="C22" s="9"/>
      <c r="D22" s="9"/>
      <c r="E22" s="9"/>
      <c r="F22" s="10" t="n">
        <f aca="false">(C5-C10)*C9</f>
        <v>30015</v>
      </c>
    </row>
    <row r="23" customFormat="false" ht="15" hidden="false" customHeight="false" outlineLevel="0" collapsed="false">
      <c r="B23" s="5" t="s">
        <v>22</v>
      </c>
      <c r="C23" s="9"/>
      <c r="D23" s="9"/>
      <c r="E23" s="9"/>
      <c r="F23" s="10" t="n">
        <f aca="false">C11*(1+C12)</f>
        <v>1800</v>
      </c>
    </row>
    <row r="24" customFormat="false" ht="15" hidden="false" customHeight="false" outlineLevel="0" collapsed="false">
      <c r="B24" s="5" t="s">
        <v>23</v>
      </c>
      <c r="C24" s="9"/>
      <c r="D24" s="9"/>
      <c r="E24" s="9"/>
      <c r="F24" s="10" t="n">
        <f aca="false">C13</f>
        <v>1860</v>
      </c>
    </row>
    <row r="25" customFormat="false" ht="15" hidden="false" customHeight="false" outlineLevel="0" collapsed="false">
      <c r="B25" s="15" t="s">
        <v>24</v>
      </c>
      <c r="C25" s="16"/>
      <c r="D25" s="16"/>
      <c r="E25" s="16"/>
      <c r="F25" s="17" t="n">
        <f aca="false">SUM(F21:F24)</f>
        <v>281175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2026-06-25T23:05:01Z</dcterms:created>
  <dc:creator>openpyxl</dc:creator>
  <dc:description/>
  <dc:language>en-US</dc:language>
  <cp:lastModifiedBy/>
  <dcterms:modified xsi:type="dcterms:W3CDTF">2026-06-25T23:05:01Z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