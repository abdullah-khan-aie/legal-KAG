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<sst xmlns="http://schemas.openxmlformats.org/spreadsheetml/2006/main" count="47" uniqueCount="47">
  <si>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Hartnell v Bracken Group plc — Schedule of Loss</t>
  </si>
  <si>
    <t xml:space="preserve">Case No. 2601839/2026  ·  Prepared for settlement modelling  ·  Termination Date assumed 30 April 2026</t>
  </si>
  <si>
    <t xml:space="preserve">All figures in GBP. Claimant aged 58; continuous service from 2 March 2009 (16 complete years).</t>
  </si>
  <si>
    <t xml:space="preserve">Key inputs (assumptions)</t>
  </si>
  <si>
    <t xml:space="preserve">Gross annual salary</t>
  </si>
  <si>
    <t xml:space="preserve">Contractual basic, 2025</t>
  </si>
  <si>
    <t xml:space="preserve">Gross weekly pay (uncapped)</t>
  </si>
  <si>
    <t xml:space="preserve">Salary / 52</t>
  </si>
  <si>
    <t xml:space="preserve">Statutory week cap (2025/26)</t>
  </si>
  <si>
    <t xml:space="preserve">ERA 1996 s.227</t>
  </si>
  <si>
    <t xml:space="preserve">Car allowance p.a.</t>
  </si>
  <si>
    <t xml:space="preserve">Contractual</t>
  </si>
  <si>
    <t xml:space="preserve">Employer pension contribution rate</t>
  </si>
  <si>
    <t xml:space="preserve">10% of basic</t>
  </si>
  <si>
    <t xml:space="preserve">Net monthly pay (est.)</t>
  </si>
  <si>
    <t xml:space="preserve">After tax &amp; NIC</t>
  </si>
  <si>
    <t xml:space="preserve">Complete years' service</t>
  </si>
  <si>
    <t xml:space="preserve">From 02/03/2009</t>
  </si>
  <si>
    <t xml:space="preserve">Age at dismissal</t>
  </si>
  <si>
    <t xml:space="preserve">Mitigation period (months)</t>
  </si>
  <si>
    <t xml:space="preserve">Realistic re-employment horizon</t>
  </si>
  <si>
    <t xml:space="preserve">Head of loss</t>
  </si>
  <si>
    <t xml:space="preserve">Basis</t>
  </si>
  <si>
    <t xml:space="preserve">Amount</t>
  </si>
  <si>
    <t xml:space="preserve">Notes</t>
  </si>
  <si>
    <t xml:space="preserve">Basic award</t>
  </si>
  <si>
    <t xml:space="preserve">1.5 weeks per year (age 41+), capped week, 16 yrs</t>
  </si>
  <si>
    <t xml:space="preserve">ERA 1996 s.119</t>
  </si>
  <si>
    <t xml:space="preserve">Net loss of earnings (past + future)</t>
  </si>
  <si>
    <t xml:space="preserve">Net monthly pay × mitigation months</t>
  </si>
  <si>
    <t xml:space="preserve">12 months to mitigation</t>
  </si>
  <si>
    <t xml:space="preserve">Loss of car allowance</t>
  </si>
  <si>
    <t xml:space="preserve">Car allowance over mitigation period</t>
  </si>
  <si>
    <t xml:space="preserve">Loss of pension</t>
  </si>
  <si>
    <t xml:space="preserve">Employer pension over mitigation period</t>
  </si>
  <si>
    <t xml:space="preserve">Loss of benefits (PMI, life, PHI)</t>
  </si>
  <si>
    <t xml:space="preserve">Estimated replacement cost</t>
  </si>
  <si>
    <t xml:space="preserve">Hardcode — estimate</t>
  </si>
  <si>
    <t xml:space="preserve">Loss of statutory rights</t>
  </si>
  <si>
    <t xml:space="preserve">Conventional award</t>
  </si>
  <si>
    <t xml:space="preserve">Injury to feelings (age discrimination)</t>
  </si>
  <si>
    <t xml:space="preserve">Middle Vento band (£11,700–£35,200)</t>
  </si>
  <si>
    <t xml:space="preserve">Vento 2025 uprating</t>
  </si>
  <si>
    <t xml:space="preserve">Sub-total before uplift</t>
  </si>
  <si>
    <t xml:space="preserve">ACAS uplift</t>
  </si>
  <si>
    <t xml:space="preserve">Up to 25% for failure to follow ACAS Code</t>
  </si>
  <si>
    <t xml:space="preserve">TOTAL pleaded schedule of loss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</si>
</sst>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\£#,##0.00;&quot;(£&quot;#,##0.00\);\-"/>
    <numFmt numFmtId="167" formatCode="0.0%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B5" s="3" t="s">
        <v>3</v>
      </c>
      <c r="C5" s="4"/>
      <c r="D5" s="4"/>
      <c r="E5" s="4"/>
    </row>
    <row r="6" customFormat="false" ht="15" hidden="false" customHeight="false" outlineLevel="0" collapsed="false">
      <c r="B6" s="5" t="s">
        <v>4</v>
      </c>
      <c r="C6" s="6" t="n">
        <v>142000</v>
      </c>
      <c r="D6" s="7"/>
      <c r="E6" s="8" t="s">
        <v>5</v>
      </c>
    </row>
    <row r="7" customFormat="false" ht="15" hidden="false" customHeight="false" outlineLevel="0" collapsed="false">
      <c r="B7" s="5" t="s">
        <v>6</v>
      </c>
      <c r="C7" s="9" t="n">
        <f aca="false">C6/52</f>
        <v>2730.76923076923</v>
      </c>
      <c r="D7" s="7"/>
      <c r="E7" s="8" t="s">
        <v>7</v>
      </c>
    </row>
    <row r="8" customFormat="false" ht="15" hidden="false" customHeight="false" outlineLevel="0" collapsed="false">
      <c r="B8" s="5" t="s">
        <v>8</v>
      </c>
      <c r="C8" s="6" t="n">
        <v>700</v>
      </c>
      <c r="D8" s="7"/>
      <c r="E8" s="8" t="s">
        <v>9</v>
      </c>
    </row>
    <row r="9" customFormat="false" ht="15" hidden="false" customHeight="false" outlineLevel="0" collapsed="false">
      <c r="B9" s="5" t="s">
        <v>10</v>
      </c>
      <c r="C9" s="6" t="n">
        <v>11400</v>
      </c>
      <c r="D9" s="7"/>
      <c r="E9" s="8" t="s">
        <v>11</v>
      </c>
    </row>
    <row r="10" customFormat="false" ht="15" hidden="false" customHeight="false" outlineLevel="0" collapsed="false">
      <c r="B10" s="5" t="s">
        <v>12</v>
      </c>
      <c r="C10" s="10" t="n">
        <v>0.1</v>
      </c>
      <c r="D10" s="7"/>
      <c r="E10" s="8" t="s">
        <v>13</v>
      </c>
    </row>
    <row r="11" customFormat="false" ht="15" hidden="false" customHeight="false" outlineLevel="0" collapsed="false">
      <c r="B11" s="5" t="s">
        <v>14</v>
      </c>
      <c r="C11" s="6" t="n">
        <v>7250</v>
      </c>
      <c r="D11" s="7"/>
      <c r="E11" s="8" t="s">
        <v>15</v>
      </c>
    </row>
    <row r="12" customFormat="false" ht="15" hidden="false" customHeight="false" outlineLevel="0" collapsed="false">
      <c r="B12" s="5" t="s">
        <v>16</v>
      </c>
      <c r="C12" s="11" t="n">
        <v>16</v>
      </c>
      <c r="D12" s="7"/>
      <c r="E12" s="8" t="s">
        <v>17</v>
      </c>
    </row>
    <row r="13" customFormat="false" ht="15" hidden="false" customHeight="false" outlineLevel="0" collapsed="false">
      <c r="B13" s="5" t="s">
        <v>18</v>
      </c>
      <c r="C13" s="11" t="n">
        <v>58</v>
      </c>
      <c r="D13" s="7"/>
      <c r="E13" s="8"/>
    </row>
    <row r="14" customFormat="false" ht="15" hidden="false" customHeight="false" outlineLevel="0" collapsed="false">
      <c r="B14" s="5" t="s">
        <v>19</v>
      </c>
      <c r="C14" s="11" t="n">
        <v>12</v>
      </c>
      <c r="D14" s="7"/>
      <c r="E14" s="8" t="s">
        <v>20</v>
      </c>
    </row>
    <row r="16" customFormat="false" ht="15" hidden="false" customHeight="false" outlineLevel="0" collapsed="false">
      <c r="B16" s="12" t="s">
        <v>21</v>
      </c>
      <c r="C16" s="12" t="s">
        <v>22</v>
      </c>
      <c r="D16" s="12" t="s">
        <v>23</v>
      </c>
      <c r="E16" s="12" t="s">
        <v>24</v>
      </c>
    </row>
    <row r="17" customFormat="false" ht="15" hidden="false" customHeight="false" outlineLevel="0" collapsed="false">
      <c r="B17" s="5" t="s">
        <v>25</v>
      </c>
      <c r="C17" s="8" t="s">
        <v>26</v>
      </c>
      <c r="D17" s="13" t="n">
        <f aca="false">1.5*16*MIN(C7,C8)</f>
        <v>16800</v>
      </c>
      <c r="E17" s="8" t="s">
        <v>27</v>
      </c>
    </row>
    <row r="18" customFormat="false" ht="15" hidden="false" customHeight="false" outlineLevel="0" collapsed="false">
      <c r="B18" s="5" t="s">
        <v>28</v>
      </c>
      <c r="C18" s="8" t="s">
        <v>29</v>
      </c>
      <c r="D18" s="13" t="n">
        <f aca="false">C11*C14</f>
        <v>87000</v>
      </c>
      <c r="E18" s="8" t="s">
        <v>30</v>
      </c>
    </row>
    <row r="19" customFormat="false" ht="15" hidden="false" customHeight="false" outlineLevel="0" collapsed="false">
      <c r="B19" s="5" t="s">
        <v>31</v>
      </c>
      <c r="C19" s="8" t="s">
        <v>32</v>
      </c>
      <c r="D19" s="13" t="n">
        <f aca="false">C9/12*C14</f>
        <v>11400</v>
      </c>
      <c r="E19" s="8"/>
    </row>
    <row r="20" customFormat="false" ht="15" hidden="false" customHeight="false" outlineLevel="0" collapsed="false">
      <c r="B20" s="5" t="s">
        <v>33</v>
      </c>
      <c r="C20" s="8" t="s">
        <v>34</v>
      </c>
      <c r="D20" s="13" t="n">
        <f aca="false">C6*C10/12*C14</f>
        <v>14200</v>
      </c>
      <c r="E20" s="8"/>
    </row>
    <row r="21" customFormat="false" ht="15" hidden="false" customHeight="false" outlineLevel="0" collapsed="false">
      <c r="B21" s="5" t="s">
        <v>35</v>
      </c>
      <c r="C21" s="8" t="s">
        <v>36</v>
      </c>
      <c r="D21" s="6" t="n">
        <v>4800</v>
      </c>
      <c r="E21" s="8" t="s">
        <v>37</v>
      </c>
    </row>
    <row r="22" customFormat="false" ht="15" hidden="false" customHeight="false" outlineLevel="0" collapsed="false">
      <c r="B22" s="5" t="s">
        <v>38</v>
      </c>
      <c r="C22" s="8" t="s">
        <v>39</v>
      </c>
      <c r="D22" s="6" t="n">
        <v>500</v>
      </c>
      <c r="E22" s="8"/>
    </row>
    <row r="23" customFormat="false" ht="15" hidden="false" customHeight="false" outlineLevel="0" collapsed="false">
      <c r="B23" s="5" t="s">
        <v>40</v>
      </c>
      <c r="C23" s="8" t="s">
        <v>41</v>
      </c>
      <c r="D23" s="6" t="n">
        <v>25000</v>
      </c>
      <c r="E23" s="8" t="s">
        <v>42</v>
      </c>
    </row>
    <row r="24" customFormat="false" ht="15" hidden="false" customHeight="false" outlineLevel="0" collapsed="false">
      <c r="B24" s="14" t="s">
        <v>43</v>
      </c>
      <c r="C24" s="15"/>
      <c r="D24" s="16" t="n">
        <f aca="false">SUM(D17:D23)</f>
        <v>159700</v>
      </c>
      <c r="E24" s="15"/>
    </row>
    <row r="25" customFormat="false" ht="15" hidden="false" customHeight="false" outlineLevel="0" collapsed="false">
      <c r="B25" s="5" t="s">
        <v>44</v>
      </c>
      <c r="C25" s="10" t="n">
        <v>0.15</v>
      </c>
      <c r="D25" s="13" t="n">
        <f aca="false">D24*C25</f>
        <v>23955</v>
      </c>
      <c r="E25" s="8" t="s">
        <v>45</v>
      </c>
    </row>
    <row r="26" customFormat="false" ht="15" hidden="false" customHeight="false" outlineLevel="0" collapsed="false">
      <c r="B26" s="17" t="s">
        <v>46</v>
      </c>
      <c r="C26" s="18"/>
      <c r="D26" s="19" t="n">
        <f aca="false">D24+D25</f>
        <v>183655</v>
      </c>
      <c r="E2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2026-06-25T23:05:01Z</dcterms:created>
  <dc:creator>openpyxl</dc:creator>
  <dc:description/>
  <dc:language>en-US</dc:language>
  <cp:lastModifiedBy/>
  <dcterms:modified xsi:type="dcterms:W3CDTF">2026-06-25T23:05:01Z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