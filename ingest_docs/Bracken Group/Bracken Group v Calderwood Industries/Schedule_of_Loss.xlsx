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of Cover" sheetId="2" state="visible" r:id="rId2"/>
    <sheet xmlns:r="http://schemas.openxmlformats.org/officeDocument/2006/relationships" name="Loss of Profit" sheetId="3" state="visible" r:id="rId3"/>
    <sheet xmlns:r="http://schemas.openxmlformats.org/officeDocument/2006/relationships" name="Wasted Expendi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  <font>
      <b val="1"/>
      <color rgb="00FFFFFF"/>
    </font>
    <font>
      <i val="1"/>
      <sz val="9"/>
    </font>
    <font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2" fillId="0" borderId="1" pivotButton="0" quotePrefix="0" xfId="0"/>
    <xf numFmtId="164" fontId="2" fillId="3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2" fillId="0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6" customWidth="1" min="4" max="4"/>
  </cols>
  <sheetData>
    <row r="1">
      <c r="A1" s="1" t="inlineStr">
        <is>
          <t>IN THE HIGH COURT OF JUSTICE — COMMERCIAL COURT (KBD)   Claim No. CL-2025-000412</t>
        </is>
      </c>
    </row>
    <row r="2">
      <c r="A2" s="2" t="inlineStr">
        <is>
          <t>Bracken Group plc (Claimant) v Calderwood Industries Limited (Defendant)</t>
        </is>
      </c>
    </row>
    <row r="3">
      <c r="A3" s="3" t="inlineStr">
        <is>
          <t>SCHEDULE OF LOSS — served with the Particulars of Claim (28 October 2025); updated 27 March 2026</t>
        </is>
      </c>
    </row>
    <row r="5">
      <c r="A5" s="4" t="inlineStr">
        <is>
          <t>Head of loss</t>
        </is>
      </c>
      <c r="B5" s="4" t="inlineStr">
        <is>
          <t>Basis / particulars</t>
        </is>
      </c>
      <c r="C5" s="4" t="inlineStr">
        <is>
          <t>Period</t>
        </is>
      </c>
      <c r="D5" s="4" t="inlineStr">
        <is>
          <t>Amount (£)</t>
        </is>
      </c>
    </row>
    <row r="6">
      <c r="A6" s="5" t="inlineStr">
        <is>
          <t>1. Cost of cover</t>
        </is>
      </c>
      <c r="B6" s="6" t="inlineStr">
        <is>
          <t>Additional cost of procuring replacement HPX-440 Assemblies from Marlin Hydraulics Ltd over the price that would have been payable to the Defendant, plus one-off changeover costs (see sheet 'Cost of Cover').</t>
        </is>
      </c>
      <c r="C6" s="5" t="inlineStr">
        <is>
          <t>Mar 2025 – Feb 2026</t>
        </is>
      </c>
      <c r="D6" s="7">
        <f>'Cost of Cover'!D16</f>
        <v/>
      </c>
    </row>
    <row r="7">
      <c r="A7" s="5" t="inlineStr">
        <is>
          <t>2. Loss of profit</t>
        </is>
      </c>
      <c r="B7" s="6" t="inlineStr">
        <is>
          <t>Lost contribution on finished units not produced as a result of production downtime caused by non-conforming and late deliveries; to be supported by expert accountancy evidence (see sheet 'Loss of Profit').</t>
        </is>
      </c>
      <c r="C7" s="5" t="inlineStr">
        <is>
          <t>Sep 2024 – Feb 2025</t>
        </is>
      </c>
      <c r="D7" s="7">
        <f>'Loss of Profit'!D11</f>
        <v/>
      </c>
    </row>
    <row r="8">
      <c r="A8" s="5" t="inlineStr">
        <is>
          <t>3. Wasted expenditure</t>
        </is>
      </c>
      <c r="B8" s="6" t="inlineStr">
        <is>
          <t>Additional inspection, rework, quarantine and abortive handling costs incurred on non-conforming batches B-2408 onwards (see sheet 'Wasted Expenditure').</t>
        </is>
      </c>
      <c r="C8" s="5" t="inlineStr">
        <is>
          <t>Aug 2024 – Feb 2025</t>
        </is>
      </c>
      <c r="D8" s="7">
        <f>'Wasted Expenditure'!D9</f>
        <v/>
      </c>
    </row>
    <row r="9">
      <c r="A9" s="8" t="inlineStr">
        <is>
          <t>Principal sum claimed</t>
        </is>
      </c>
      <c r="B9" s="5" t="n"/>
      <c r="C9" s="5" t="n"/>
      <c r="D9" s="9">
        <f>SUM(D6:D8)</f>
        <v/>
      </c>
    </row>
    <row r="11">
      <c r="A11" s="2" t="inlineStr">
        <is>
          <t>Interest (section 35A Senior Courts Act 1981)</t>
        </is>
      </c>
    </row>
    <row r="12">
      <c r="A12" t="inlineStr">
        <is>
          <t>Rate claimed (per annum, simple)</t>
        </is>
      </c>
      <c r="B12" s="10" t="n">
        <v>0.04</v>
      </c>
    </row>
    <row r="13">
      <c r="A13" t="inlineStr">
        <is>
          <t>Days from termination (28 Feb 2025) to 27 Mar 2026</t>
        </is>
      </c>
      <c r="B13" t="n">
        <v>393</v>
      </c>
    </row>
    <row r="14">
      <c r="A14" t="inlineStr">
        <is>
          <t>Interest to date (illustrative)</t>
        </is>
      </c>
      <c r="D14" s="11">
        <f>ROUND(D9*B12*B13/365,0)</f>
        <v/>
      </c>
    </row>
    <row r="15">
      <c r="A15" s="2" t="inlineStr">
        <is>
          <t>TOTAL (principal + interest to date)</t>
        </is>
      </c>
      <c r="D15" s="12">
        <f>D9+D14</f>
        <v/>
      </c>
    </row>
    <row r="17">
      <c r="A17" s="13" t="inlineStr">
        <is>
          <t>Note: figures stated net of VAT. Loss of profit to be confirmed by the Claimant's forensic accountancy expert. Interest continues to accrue at the daily rate until judgment or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Head 1 — Cost of Cover (replacement supply from Marlin Hydraulics Ltd)</t>
        </is>
      </c>
      <c r="H1" s="14" t="inlineStr">
        <is>
          <t>(total row = 16)</t>
        </is>
      </c>
    </row>
    <row r="2">
      <c r="A2" s="13" t="inlineStr">
        <is>
          <t>Difference between the price payable to Marlin and the price that would have been payable to Calderwood, by quarter, plus one-off changeover costs.</t>
        </is>
      </c>
    </row>
    <row r="4">
      <c r="A4" s="4" t="inlineStr">
        <is>
          <t>Period</t>
        </is>
      </c>
      <c r="B4" s="4" t="inlineStr">
        <is>
          <t>Units</t>
        </is>
      </c>
      <c r="C4" s="4" t="inlineStr">
        <is>
          <t>Calderwood price (£/unit)</t>
        </is>
      </c>
      <c r="D4" s="4" t="inlineStr">
        <is>
          <t>Marlin price (£/unit)</t>
        </is>
      </c>
      <c r="E4" s="4" t="inlineStr">
        <is>
          <t>Diff (£/unit)</t>
        </is>
      </c>
      <c r="F4" s="4" t="inlineStr">
        <is>
          <t>Additional cost (£)</t>
        </is>
      </c>
    </row>
    <row r="5">
      <c r="A5" s="5" t="inlineStr">
        <is>
          <t>2025 Q2 (Mar–May)</t>
        </is>
      </c>
      <c r="B5" s="5" t="n">
        <v>1150</v>
      </c>
      <c r="C5" s="7" t="n">
        <v>1040</v>
      </c>
      <c r="D5" s="7" t="n">
        <v>1290</v>
      </c>
      <c r="E5" s="7">
        <f>D5-C5</f>
        <v/>
      </c>
      <c r="F5" s="7">
        <f>B5*E5</f>
        <v/>
      </c>
    </row>
    <row r="6">
      <c r="A6" s="5" t="inlineStr">
        <is>
          <t>2025 Q3 (Jun–Aug)</t>
        </is>
      </c>
      <c r="B6" s="5" t="n">
        <v>1200</v>
      </c>
      <c r="C6" s="7" t="n">
        <v>1040</v>
      </c>
      <c r="D6" s="7" t="n">
        <v>1290</v>
      </c>
      <c r="E6" s="7">
        <f>D6-C6</f>
        <v/>
      </c>
      <c r="F6" s="7">
        <f>B6*E6</f>
        <v/>
      </c>
    </row>
    <row r="7">
      <c r="A7" s="5" t="inlineStr">
        <is>
          <t>2025 Q4 (Sep–Nov)</t>
        </is>
      </c>
      <c r="B7" s="5" t="n">
        <v>1150</v>
      </c>
      <c r="C7" s="7" t="n">
        <v>1040</v>
      </c>
      <c r="D7" s="7" t="n">
        <v>1290</v>
      </c>
      <c r="E7" s="7">
        <f>D7-C7</f>
        <v/>
      </c>
      <c r="F7" s="7">
        <f>B7*E7</f>
        <v/>
      </c>
    </row>
    <row r="8">
      <c r="A8" s="5" t="inlineStr">
        <is>
          <t>2026 Q1 (Dec–Feb)</t>
        </is>
      </c>
      <c r="B8" s="5" t="n">
        <v>1100</v>
      </c>
      <c r="C8" s="7" t="n">
        <v>1040</v>
      </c>
      <c r="D8" s="7" t="n">
        <v>1290</v>
      </c>
      <c r="E8" s="7">
        <f>D8-C8</f>
        <v/>
      </c>
      <c r="F8" s="7">
        <f>B8*E8</f>
        <v/>
      </c>
    </row>
    <row r="9">
      <c r="A9" s="8" t="inlineStr">
        <is>
          <t>Sub-total — price differential</t>
        </is>
      </c>
      <c r="B9" s="8">
        <f>SUM(B5:B8)</f>
        <v/>
      </c>
      <c r="C9" s="5" t="n"/>
      <c r="D9" s="5" t="n"/>
      <c r="E9" s="5" t="n"/>
      <c r="F9" s="15">
        <f>SUM(F5:F8)</f>
        <v/>
      </c>
    </row>
    <row r="10">
      <c r="A10" s="5" t="n"/>
      <c r="B10" s="5" t="n"/>
      <c r="C10" s="5" t="n"/>
      <c r="D10" s="5" t="n"/>
      <c r="E10" s="5" t="n"/>
      <c r="F10" s="5" t="n"/>
    </row>
    <row r="11">
      <c r="A11" s="8" t="inlineStr">
        <is>
          <t>One-off changeover costs</t>
        </is>
      </c>
      <c r="B11" s="5" t="n"/>
      <c r="C11" s="5" t="n"/>
      <c r="D11" s="5" t="n"/>
      <c r="E11" s="5" t="n"/>
      <c r="F11" s="5" t="n"/>
    </row>
    <row r="12">
      <c r="A12" s="5" t="inlineStr">
        <is>
          <t>Expedited freight and part-load air shipments to maintain supply</t>
        </is>
      </c>
      <c r="B12" s="5" t="n"/>
      <c r="C12" s="5" t="n"/>
      <c r="D12" s="5" t="n"/>
      <c r="E12" s="5" t="n"/>
      <c r="F12" s="7" t="n">
        <v>120000</v>
      </c>
    </row>
    <row r="13">
      <c r="A13" s="5" t="inlineStr">
        <is>
          <t>Re-tooling, first-article inspection and validation of Marlin parts</t>
        </is>
      </c>
      <c r="B13" s="5" t="n"/>
      <c r="C13" s="5" t="n"/>
      <c r="D13" s="5" t="n"/>
      <c r="E13" s="5" t="n"/>
      <c r="F13" s="7" t="n">
        <v>95000</v>
      </c>
    </row>
    <row r="14">
      <c r="A14" s="5" t="inlineStr">
        <is>
          <t>Additional acceptance testing of replacement Assemblies</t>
        </is>
      </c>
      <c r="B14" s="5" t="n"/>
      <c r="C14" s="5" t="n"/>
      <c r="D14" s="5" t="n"/>
      <c r="E14" s="5" t="n"/>
      <c r="F14" s="7" t="n">
        <v>85000</v>
      </c>
    </row>
    <row r="15">
      <c r="A15" s="8" t="inlineStr">
        <is>
          <t>Sub-total — one-off costs</t>
        </is>
      </c>
      <c r="B15" s="5" t="n"/>
      <c r="C15" s="5" t="n"/>
      <c r="D15" s="5" t="n"/>
      <c r="E15" s="5" t="n"/>
      <c r="F15" s="15">
        <f>SUM(F12:F14)</f>
        <v/>
      </c>
    </row>
    <row r="16">
      <c r="A16" s="8" t="inlineStr">
        <is>
          <t>TOTAL — Head 1 Cost of Cover</t>
        </is>
      </c>
      <c r="B16" s="5" t="n"/>
      <c r="C16" s="5" t="n"/>
      <c r="D16" s="16">
        <f>F9+F15</f>
        <v/>
      </c>
      <c r="E16" s="5" t="n"/>
      <c r="F16" s="16">
        <f>F9+F15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Head 2 — Loss of Profit (lost contribution from production downtime)</t>
        </is>
      </c>
      <c r="F1" s="14" t="inlineStr">
        <is>
          <t>(total row = 11)</t>
        </is>
      </c>
    </row>
    <row r="2">
      <c r="A2" s="13" t="inlineStr">
        <is>
          <t>Finished units not produced and sold as a result of non-conforming and late deliveries, valued at the lost contribution per unit.</t>
        </is>
      </c>
    </row>
    <row r="4">
      <c r="A4" s="4" t="inlineStr">
        <is>
          <t>Month</t>
        </is>
      </c>
      <c r="B4" s="4" t="inlineStr">
        <is>
          <t>Units lost</t>
        </is>
      </c>
      <c r="C4" s="4" t="inlineStr">
        <is>
          <t>Contribution (£/unit)</t>
        </is>
      </c>
      <c r="D4" s="4" t="inlineStr">
        <is>
          <t>Lost contribution (£)</t>
        </is>
      </c>
    </row>
    <row r="5">
      <c r="A5" s="5" t="inlineStr">
        <is>
          <t>September 2024</t>
        </is>
      </c>
      <c r="B5" s="5" t="n">
        <v>850</v>
      </c>
      <c r="C5" s="7" t="n">
        <v>350</v>
      </c>
      <c r="D5" s="7">
        <f>B5*C5</f>
        <v/>
      </c>
    </row>
    <row r="6">
      <c r="A6" s="5" t="inlineStr">
        <is>
          <t>October 2024</t>
        </is>
      </c>
      <c r="B6" s="5" t="n">
        <v>1050</v>
      </c>
      <c r="C6" s="7" t="n">
        <v>350</v>
      </c>
      <c r="D6" s="7">
        <f>B6*C6</f>
        <v/>
      </c>
    </row>
    <row r="7">
      <c r="A7" s="5" t="inlineStr">
        <is>
          <t>November 2024</t>
        </is>
      </c>
      <c r="B7" s="5" t="n">
        <v>1100</v>
      </c>
      <c r="C7" s="7" t="n">
        <v>350</v>
      </c>
      <c r="D7" s="7">
        <f>B7*C7</f>
        <v/>
      </c>
    </row>
    <row r="8">
      <c r="A8" s="5" t="inlineStr">
        <is>
          <t>December 2024</t>
        </is>
      </c>
      <c r="B8" s="5" t="n">
        <v>900</v>
      </c>
      <c r="C8" s="7" t="n">
        <v>350</v>
      </c>
      <c r="D8" s="7">
        <f>B8*C8</f>
        <v/>
      </c>
    </row>
    <row r="9">
      <c r="A9" s="5" t="inlineStr">
        <is>
          <t>January 2025</t>
        </is>
      </c>
      <c r="B9" s="5" t="n">
        <v>1000</v>
      </c>
      <c r="C9" s="7" t="n">
        <v>350</v>
      </c>
      <c r="D9" s="7">
        <f>B9*C9</f>
        <v/>
      </c>
    </row>
    <row r="10">
      <c r="A10" s="5" t="inlineStr">
        <is>
          <t>February 2025</t>
        </is>
      </c>
      <c r="B10" s="5" t="n">
        <v>1100</v>
      </c>
      <c r="C10" s="7" t="n">
        <v>350</v>
      </c>
      <c r="D10" s="7">
        <f>B10*C10</f>
        <v/>
      </c>
    </row>
    <row r="11">
      <c r="A11" s="8" t="inlineStr">
        <is>
          <t>Total units lost / lost contribution</t>
        </is>
      </c>
      <c r="B11" s="8">
        <f>SUM(B5:B10)</f>
        <v/>
      </c>
      <c r="C11" s="5" t="n"/>
      <c r="D11" s="16">
        <f>SUM(D5:D10)</f>
        <v/>
      </c>
    </row>
    <row r="13">
      <c r="A13" s="13" t="inlineStr">
        <is>
          <t>Note: contribution per unit (selling price less variable cost) to be confirmed by the Claimant's forensic accountancy expert. Total carries to Head 2 of loss in the Summary.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20" customWidth="1" min="3" max="3"/>
    <col width="15" customWidth="1" min="4" max="4"/>
  </cols>
  <sheetData>
    <row r="1">
      <c r="A1" s="1" t="inlineStr">
        <is>
          <t>Head 3 — Wasted Expenditure (non-conforming batches B-2408 onwards)</t>
        </is>
      </c>
      <c r="F1" s="14" t="inlineStr">
        <is>
          <t>(total row = 9)</t>
        </is>
      </c>
    </row>
    <row r="3">
      <c r="A3" s="4" t="inlineStr">
        <is>
          <t>Item</t>
        </is>
      </c>
      <c r="B3" s="4" t="inlineStr">
        <is>
          <t>Basis</t>
        </is>
      </c>
      <c r="C3" s="4" t="inlineStr">
        <is>
          <t>Period</t>
        </is>
      </c>
      <c r="D3" s="4" t="inlineStr">
        <is>
          <t>Amount (£)</t>
        </is>
      </c>
    </row>
    <row r="4">
      <c r="A4" s="5" t="inlineStr">
        <is>
          <t>Additional incoming inspection (QA overtime)</t>
        </is>
      </c>
      <c r="B4" s="6" t="inlineStr">
        <is>
          <t>Extra hydrostatic and dimensional testing of suspect batches</t>
        </is>
      </c>
      <c r="C4" s="5" t="inlineStr">
        <is>
          <t>Aug 2024 – Feb 2025</t>
        </is>
      </c>
      <c r="D4" s="7" t="n">
        <v>70000</v>
      </c>
    </row>
    <row r="5">
      <c r="A5" s="5" t="inlineStr">
        <is>
          <t>Rework and re-test of recoverable units</t>
        </is>
      </c>
      <c r="B5" s="6" t="inlineStr">
        <is>
          <t>Disassembly, reseal and re-test labour and materials</t>
        </is>
      </c>
      <c r="C5" s="5" t="inlineStr">
        <is>
          <t>Aug 2024 – Feb 2025</t>
        </is>
      </c>
      <c r="D5" s="7" t="n">
        <v>65000</v>
      </c>
    </row>
    <row r="6">
      <c r="A6" s="5" t="inlineStr">
        <is>
          <t>Quarantine and storage of non-conforming batches</t>
        </is>
      </c>
      <c r="B6" s="6" t="inlineStr">
        <is>
          <t>Segregation, handling and storage of rejected stock</t>
        </is>
      </c>
      <c r="C6" s="5" t="inlineStr">
        <is>
          <t>Aug 2024 – Feb 2025</t>
        </is>
      </c>
      <c r="D6" s="7" t="n">
        <v>30000</v>
      </c>
    </row>
    <row r="7">
      <c r="A7" s="5" t="inlineStr">
        <is>
          <t>Abortive handling, scrap and disposal</t>
        </is>
      </c>
      <c r="B7" s="6" t="inlineStr">
        <is>
          <t>Goods-in handling, scrapping and disposal of unusable units</t>
        </is>
      </c>
      <c r="C7" s="5" t="inlineStr">
        <is>
          <t>Aug 2024 – Feb 2025</t>
        </is>
      </c>
      <c r="D7" s="7" t="n">
        <v>55000</v>
      </c>
    </row>
    <row r="8">
      <c r="A8" s="5" t="inlineStr">
        <is>
          <t>Management and administrative time</t>
        </is>
      </c>
      <c r="B8" s="6" t="inlineStr">
        <is>
          <t>Quality, procurement and management time on the non-conformities</t>
        </is>
      </c>
      <c r="C8" s="5" t="inlineStr">
        <is>
          <t>Aug 2024 – Feb 2025</t>
        </is>
      </c>
      <c r="D8" s="7" t="n">
        <v>30000</v>
      </c>
    </row>
    <row r="9">
      <c r="A9" s="8" t="inlineStr">
        <is>
          <t>TOTAL — Head 3 Wasted Expenditure</t>
        </is>
      </c>
      <c r="B9" s="5" t="n"/>
      <c r="C9" s="5" t="n"/>
      <c r="D9" s="16">
        <f>SUM(D4:D8)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2026-06-10T20:48:49Z</dcterms:created>
  <dcterms:modified xmlns:dcterms="http://purl.org/dc/terms/" xmlns:xsi="http://www.w3.org/2001/XMLSchema-instance" xsi:type="dcterms:W3CDTF">2026-06-10T20:48:49Z</dcterms:modified>
</cp:coreProperties>
</file>