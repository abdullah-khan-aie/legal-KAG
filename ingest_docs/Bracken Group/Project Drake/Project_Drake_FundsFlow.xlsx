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<sst xmlns="http://schemas.openxmlformats.org/spreadsheetml/2006/main" count="40" uniqueCount="35">
  <si>
    <t xml:space="preserve">Project Drake — Completion Funds Flow Statement</t>
  </si>
  <si>
    <t xml:space="preserve">Harwood Valve &amp; Controls Limited · Completion date: 20 February 2026 · All amounts in £</t>
  </si>
  <si>
    <t xml:space="preserve">#</t>
  </si>
  <si>
    <t xml:space="preserve">Payer</t>
  </si>
  <si>
    <t xml:space="preserve">Payee</t>
  </si>
  <si>
    <t xml:space="preserve">Purpose</t>
  </si>
  <si>
    <t xml:space="preserve">Amount (£)</t>
  </si>
  <si>
    <t xml:space="preserve">Account / reference</t>
  </si>
  <si>
    <t xml:space="preserve">Bracken Group plc</t>
  </si>
  <si>
    <t xml:space="preserve">Whitfield Carter LLP client a/c</t>
  </si>
  <si>
    <t xml:space="preserve">Initial cash consideration (less escrow)</t>
  </si>
  <si>
    <t xml:space="preserve">Clydesford Bank 20-00-00 / 41122003</t>
  </si>
  <si>
    <t xml:space="preserve">Escrow Account (joint)</t>
  </si>
  <si>
    <t xml:space="preserve">Escrow / retention amount</t>
  </si>
  <si>
    <t xml:space="preserve">Escrow a/c 23-05-11 / 80043217</t>
  </si>
  <si>
    <t xml:space="preserve">Whitfield Carter LLP</t>
  </si>
  <si>
    <t xml:space="preserve">Denham Lewis LLP client a/c</t>
  </si>
  <si>
    <t xml:space="preserve">Distribution to Sellers (net)</t>
  </si>
  <si>
    <t xml:space="preserve">per Sellers' apportionment</t>
  </si>
  <si>
    <t xml:space="preserve">Clydesford Bank plc</t>
  </si>
  <si>
    <t xml:space="preserve">Repayment of Target bank debt at completion</t>
  </si>
  <si>
    <t xml:space="preserve">per redemption statement</t>
  </si>
  <si>
    <t xml:space="preserve">HM Revenue &amp; Customs</t>
  </si>
  <si>
    <t xml:space="preserve">Stamp duty on share transfer (0.5%)</t>
  </si>
  <si>
    <t xml:space="preserve">SDRT/stamp — post-completion</t>
  </si>
  <si>
    <t xml:space="preserve">Sellers (from proceeds)</t>
  </si>
  <si>
    <t xml:space="preserve">Marlow Tax &amp; Advisory Ltd</t>
  </si>
  <si>
    <t xml:space="preserve">Sellers' adviser fees</t>
  </si>
  <si>
    <t xml:space="preserve">deducted from distribution</t>
  </si>
  <si>
    <t xml:space="preserve">Denham Lewis LLP</t>
  </si>
  <si>
    <t xml:space="preserve">Sellers' legal fees</t>
  </si>
  <si>
    <t xml:space="preserve">Total funds provided by Buyer at Completion</t>
  </si>
  <si>
    <t xml:space="preserve">Net amount distributed to Sellers</t>
  </si>
  <si>
    <t xml:space="preserve">Memo: Escrow held pending 15-month release</t>
  </si>
  <si>
    <t xml:space="preserve">Source: SPA Clause 3 (consideration) and the Completion Statement. Inputs in blue.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</si>
</sst>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;&quot;(£&quot;#,##0\)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8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40"/>
    <col collapsed="false" customWidth="true" hidden="false" outlineLevel="0" max="5" min="5" style="0" width="16"/>
    <col collapsed="false" customWidth="true" hidden="false" outlineLevel="0" max="6" min="6" style="0" width="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5" hidden="false" customHeight="false" outlineLevel="0" collapsed="false">
      <c r="A5" s="4" t="n">
        <v>1</v>
      </c>
      <c r="B5" s="4" t="s">
        <v>8</v>
      </c>
      <c r="C5" s="4" t="s">
        <v>9</v>
      </c>
      <c r="D5" s="4" t="s">
        <v>10</v>
      </c>
      <c r="E5" s="5" t="n">
        <v>36500000</v>
      </c>
      <c r="F5" s="6" t="s">
        <v>11</v>
      </c>
    </row>
    <row r="6" customFormat="false" ht="15" hidden="false" customHeight="false" outlineLevel="0" collapsed="false">
      <c r="A6" s="4" t="n">
        <v>2</v>
      </c>
      <c r="B6" s="4" t="s">
        <v>8</v>
      </c>
      <c r="C6" s="4" t="s">
        <v>12</v>
      </c>
      <c r="D6" s="4" t="s">
        <v>13</v>
      </c>
      <c r="E6" s="5" t="n">
        <v>3000000</v>
      </c>
      <c r="F6" s="6" t="s">
        <v>14</v>
      </c>
    </row>
    <row r="7" customFormat="false" ht="15" hidden="false" customHeight="false" outlineLevel="0" collapsed="false">
      <c r="A7" s="4" t="n">
        <v>3</v>
      </c>
      <c r="B7" s="4" t="s">
        <v>15</v>
      </c>
      <c r="C7" s="4" t="s">
        <v>16</v>
      </c>
      <c r="D7" s="4" t="s">
        <v>17</v>
      </c>
      <c r="E7" s="5" t="n">
        <v>35900000</v>
      </c>
      <c r="F7" s="6" t="s">
        <v>18</v>
      </c>
    </row>
    <row r="8" customFormat="false" ht="15" hidden="false" customHeight="false" outlineLevel="0" collapsed="false">
      <c r="A8" s="4" t="n">
        <v>4</v>
      </c>
      <c r="B8" s="4" t="s">
        <v>8</v>
      </c>
      <c r="C8" s="4" t="s">
        <v>19</v>
      </c>
      <c r="D8" s="4" t="s">
        <v>20</v>
      </c>
      <c r="E8" s="5" t="n">
        <v>1800000</v>
      </c>
      <c r="F8" s="6" t="s">
        <v>21</v>
      </c>
    </row>
    <row r="9" customFormat="false" ht="15" hidden="false" customHeight="false" outlineLevel="0" collapsed="false">
      <c r="A9" s="4" t="n">
        <v>5</v>
      </c>
      <c r="B9" s="4" t="s">
        <v>8</v>
      </c>
      <c r="C9" s="4" t="s">
        <v>22</v>
      </c>
      <c r="D9" s="4" t="s">
        <v>23</v>
      </c>
      <c r="E9" s="5" t="n">
        <v>197500</v>
      </c>
      <c r="F9" s="6" t="s">
        <v>24</v>
      </c>
    </row>
    <row r="10" customFormat="false" ht="15" hidden="false" customHeight="false" outlineLevel="0" collapsed="false">
      <c r="A10" s="4" t="n">
        <v>6</v>
      </c>
      <c r="B10" s="4" t="s">
        <v>25</v>
      </c>
      <c r="C10" s="4" t="s">
        <v>26</v>
      </c>
      <c r="D10" s="4" t="s">
        <v>27</v>
      </c>
      <c r="E10" s="5" t="n">
        <v>185000</v>
      </c>
      <c r="F10" s="6" t="s">
        <v>28</v>
      </c>
    </row>
    <row r="11" customFormat="false" ht="15" hidden="false" customHeight="false" outlineLevel="0" collapsed="false">
      <c r="A11" s="4" t="n">
        <v>7</v>
      </c>
      <c r="B11" s="4" t="s">
        <v>25</v>
      </c>
      <c r="C11" s="4" t="s">
        <v>29</v>
      </c>
      <c r="D11" s="4" t="s">
        <v>30</v>
      </c>
      <c r="E11" s="5" t="n">
        <v>240000</v>
      </c>
      <c r="F11" s="6" t="s">
        <v>28</v>
      </c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</row>
    <row r="13" customFormat="false" ht="15" hidden="false" customHeight="false" outlineLevel="0" collapsed="false">
      <c r="D13" s="8" t="s">
        <v>31</v>
      </c>
      <c r="E13" s="9" t="n">
        <f aca="false">E5+E6+E8</f>
        <v>41300000</v>
      </c>
    </row>
    <row r="14" customFormat="false" ht="15" hidden="false" customHeight="false" outlineLevel="0" collapsed="false">
      <c r="D14" s="8" t="s">
        <v>32</v>
      </c>
      <c r="E14" s="9" t="n">
        <f aca="false">E5-E10-E11</f>
        <v>36075000</v>
      </c>
    </row>
    <row r="15" customFormat="false" ht="15" hidden="false" customHeight="false" outlineLevel="0" collapsed="false">
      <c r="D15" s="2" t="s">
        <v>33</v>
      </c>
      <c r="E15" s="10" t="n">
        <f aca="false">E6</f>
        <v>3000000</v>
      </c>
    </row>
    <row r="17" customFormat="false" ht="15" hidden="false" customHeight="false" outlineLevel="0" collapsed="false">
      <c r="A17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2026-06-26T10:30:46Z</dcterms:created>
  <dc:creator>openpyxl</dc:creator>
  <dc:description/>
  <dc:language>en-US</dc:language>
  <cp:lastModifiedBy/>
  <dcterms:modified xsi:type="dcterms:W3CDTF">2026-06-26T10:30:46Z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