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<sst xmlns="http://schemas.openxmlformats.org/spreadsheetml/2006/main" count="29" uniqueCount="26">
  <si>
    <t xml:space="preserve">Harwood Valve &amp; Controls Limited — Capitalisation &amp; Consideration</t>
  </si>
  <si>
    <t xml:space="preserve">Project Drake (WC-00138) · Enterprise Value £42,500,000 · cash-free / debt-free</t>
  </si>
  <si>
    <t xml:space="preserve">Consideration build-up</t>
  </si>
  <si>
    <t xml:space="preserve">Enterprise value</t>
  </si>
  <si>
    <t xml:space="preserve">Shareholder</t>
  </si>
  <si>
    <t xml:space="preserve">Class</t>
  </si>
  <si>
    <t xml:space="preserve">Shares</t>
  </si>
  <si>
    <t xml:space="preserve">% holding</t>
  </si>
  <si>
    <t xml:space="preserve">Consideration apportionment (£)</t>
  </si>
  <si>
    <t xml:space="preserve">Of which: Initial cash (£)</t>
  </si>
  <si>
    <t xml:space="preserve">Of which: Escrow (£)</t>
  </si>
  <si>
    <t xml:space="preserve">Of which: Earn-out (max, £)</t>
  </si>
  <si>
    <t xml:space="preserve">less: net debt (est.)</t>
  </si>
  <si>
    <t xml:space="preserve">Geoffrey Harwood</t>
  </si>
  <si>
    <t xml:space="preserve">Ordinary</t>
  </si>
  <si>
    <t xml:space="preserve">add: surplus cash (est.)</t>
  </si>
  <si>
    <t xml:space="preserve">Margaret Harwood</t>
  </si>
  <si>
    <t xml:space="preserve">Equity value (illustrative)</t>
  </si>
  <si>
    <t xml:space="preserve">Stephen Harwood</t>
  </si>
  <si>
    <t xml:space="preserve">Camberwell Growth Capital LLP</t>
  </si>
  <si>
    <t xml:space="preserve">Initial cash consideration</t>
  </si>
  <si>
    <t xml:space="preserve">Total</t>
  </si>
  <si>
    <t xml:space="preserve">Escrow / retention</t>
  </si>
  <si>
    <t xml:space="preserve">Earn-out (max)</t>
  </si>
  <si>
    <t xml:space="preserve">Source: SPA Schedule 2 (apportionment) and Clause 3 (consideration). Inputs in blue.</t>
  </si>
  <si>
    <t xml:space="preserve">Total max consideration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</si>
</sst>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#,##0;\(#,##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1" min="11" style="0" width="24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K2" s="3" t="s">
        <v>2</v>
      </c>
    </row>
    <row r="3" customFormat="false" ht="15" hidden="false" customHeight="false" outlineLevel="0" collapsed="false">
      <c r="K3" s="4" t="s">
        <v>3</v>
      </c>
      <c r="L3" s="5" t="n">
        <v>42500000</v>
      </c>
    </row>
    <row r="4" customFormat="false" ht="23.85" hidden="false" customHeight="false" outlineLevel="0" collapsed="false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K4" s="4" t="s">
        <v>12</v>
      </c>
      <c r="L4" s="5" t="n">
        <v>-1800000</v>
      </c>
    </row>
    <row r="5" customFormat="false" ht="15" hidden="false" customHeight="false" outlineLevel="0" collapsed="false">
      <c r="A5" s="7" t="s">
        <v>13</v>
      </c>
      <c r="B5" s="7" t="s">
        <v>14</v>
      </c>
      <c r="C5" s="8" t="n">
        <v>360000</v>
      </c>
      <c r="D5" s="9" t="n">
        <f aca="false">C5/$C$9</f>
        <v>0.36</v>
      </c>
      <c r="E5" s="10" t="n">
        <f aca="false">D5*$L$11</f>
        <v>16380000</v>
      </c>
      <c r="F5" s="10" t="n">
        <f aca="false">D5*$L$8</f>
        <v>14220000</v>
      </c>
      <c r="G5" s="10" t="n">
        <f aca="false">D5*$L$9</f>
        <v>1080000</v>
      </c>
      <c r="H5" s="10" t="n">
        <f aca="false">D5*$L$10</f>
        <v>1080000</v>
      </c>
      <c r="K5" s="4" t="s">
        <v>15</v>
      </c>
      <c r="L5" s="5" t="n">
        <v>900000</v>
      </c>
    </row>
    <row r="6" customFormat="false" ht="15" hidden="false" customHeight="false" outlineLevel="0" collapsed="false">
      <c r="A6" s="7" t="s">
        <v>16</v>
      </c>
      <c r="B6" s="7" t="s">
        <v>14</v>
      </c>
      <c r="C6" s="8" t="n">
        <v>240000</v>
      </c>
      <c r="D6" s="9" t="n">
        <f aca="false">C6/$C$9</f>
        <v>0.24</v>
      </c>
      <c r="E6" s="10" t="n">
        <f aca="false">D6*$L$11</f>
        <v>10920000</v>
      </c>
      <c r="F6" s="10" t="n">
        <f aca="false">D6*$L$8</f>
        <v>9480000</v>
      </c>
      <c r="G6" s="10" t="n">
        <f aca="false">D6*$L$9</f>
        <v>720000</v>
      </c>
      <c r="H6" s="10" t="n">
        <f aca="false">D6*$L$10</f>
        <v>720000</v>
      </c>
      <c r="K6" s="3" t="s">
        <v>17</v>
      </c>
      <c r="L6" s="11" t="n">
        <f aca="false">L3+L4+L5</f>
        <v>41600000</v>
      </c>
    </row>
    <row r="7" customFormat="false" ht="15" hidden="false" customHeight="false" outlineLevel="0" collapsed="false">
      <c r="A7" s="7" t="s">
        <v>18</v>
      </c>
      <c r="B7" s="7" t="s">
        <v>14</v>
      </c>
      <c r="C7" s="8" t="n">
        <v>150000</v>
      </c>
      <c r="D7" s="9" t="n">
        <f aca="false">C7/$C$9</f>
        <v>0.15</v>
      </c>
      <c r="E7" s="10" t="n">
        <f aca="false">D7*$L$11</f>
        <v>6825000</v>
      </c>
      <c r="F7" s="10" t="n">
        <f aca="false">D7*$L$8</f>
        <v>5925000</v>
      </c>
      <c r="G7" s="10" t="n">
        <f aca="false">D7*$L$9</f>
        <v>450000</v>
      </c>
      <c r="H7" s="10" t="n">
        <f aca="false">D7*$L$10</f>
        <v>450000</v>
      </c>
    </row>
    <row r="8" customFormat="false" ht="15" hidden="false" customHeight="false" outlineLevel="0" collapsed="false">
      <c r="A8" s="7" t="s">
        <v>19</v>
      </c>
      <c r="B8" s="7" t="s">
        <v>14</v>
      </c>
      <c r="C8" s="8" t="n">
        <v>250000</v>
      </c>
      <c r="D8" s="9" t="n">
        <f aca="false">C8/$C$9</f>
        <v>0.25</v>
      </c>
      <c r="E8" s="10" t="n">
        <f aca="false">D8*$L$11</f>
        <v>11375000</v>
      </c>
      <c r="F8" s="10" t="n">
        <f aca="false">D8*$L$8</f>
        <v>9875000</v>
      </c>
      <c r="G8" s="10" t="n">
        <f aca="false">D8*$L$9</f>
        <v>750000</v>
      </c>
      <c r="H8" s="10" t="n">
        <f aca="false">D8*$L$10</f>
        <v>750000</v>
      </c>
      <c r="K8" s="4" t="s">
        <v>20</v>
      </c>
      <c r="L8" s="5" t="n">
        <v>39500000</v>
      </c>
    </row>
    <row r="9" customFormat="false" ht="15" hidden="false" customHeight="false" outlineLevel="0" collapsed="false">
      <c r="A9" s="12" t="s">
        <v>21</v>
      </c>
      <c r="B9" s="13"/>
      <c r="C9" s="14" t="n">
        <f aca="false">SUM(C5:C8)</f>
        <v>1000000</v>
      </c>
      <c r="D9" s="15" t="n">
        <f aca="false">SUM(D5:D8)</f>
        <v>1</v>
      </c>
      <c r="E9" s="16" t="n">
        <f aca="false">SUM(E5:E8)</f>
        <v>45500000</v>
      </c>
      <c r="F9" s="16" t="n">
        <f aca="false">SUM(F5:F8)</f>
        <v>39500000</v>
      </c>
      <c r="G9" s="16" t="n">
        <f aca="false">SUM(G5:G8)</f>
        <v>3000000</v>
      </c>
      <c r="H9" s="16" t="n">
        <f aca="false">SUM(H5:H8)</f>
        <v>3000000</v>
      </c>
      <c r="K9" s="4" t="s">
        <v>22</v>
      </c>
      <c r="L9" s="5" t="n">
        <v>3000000</v>
      </c>
    </row>
    <row r="10" customFormat="false" ht="15" hidden="false" customHeight="false" outlineLevel="0" collapsed="false">
      <c r="K10" s="4" t="s">
        <v>23</v>
      </c>
      <c r="L10" s="5" t="n">
        <v>3000000</v>
      </c>
    </row>
    <row r="11" customFormat="false" ht="15" hidden="false" customHeight="false" outlineLevel="0" collapsed="false">
      <c r="A11" s="17" t="s">
        <v>24</v>
      </c>
      <c r="K11" s="3" t="s">
        <v>25</v>
      </c>
      <c r="L11" s="11" t="n">
        <f aca="false">L8+L9+L10</f>
        <v>45500000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2026-06-26T10:31:08Z</dcterms:created>
  <dc:creator>openpyxl</dc:creator>
  <dc:description/>
  <dc:language>en-US</dc:language>
  <cp:lastModifiedBy/>
  <dcterms:modified xsi:type="dcterms:W3CDTF">2026-06-26T10:31:08Z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