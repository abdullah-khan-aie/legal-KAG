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ion 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<sst xmlns="http://schemas.openxmlformats.org/spreadsheetml/2006/main" count="22" uniqueCount="22">
  <si>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Project Drake — Completion Statement (Consideration adjustment)</t>
  </si>
  <si>
    <t xml:space="preserve">Harwood Valve &amp; Controls Limited · prepared as at 20 February 2026 · £</t>
  </si>
  <si>
    <t xml:space="preserve">Item</t>
  </si>
  <si>
    <t xml:space="preserve">Note</t>
  </si>
  <si>
    <t xml:space="preserve">£</t>
  </si>
  <si>
    <t xml:space="preserve">Enterprise Value</t>
  </si>
  <si>
    <t xml:space="preserve">Per SPA Clause 1 / Heads of Terms</t>
  </si>
  <si>
    <t xml:space="preserve">add: Completion Cash</t>
  </si>
  <si>
    <t xml:space="preserve">Cash and cash equivalents at Completion</t>
  </si>
  <si>
    <t xml:space="preserve">less: Completion Debt</t>
  </si>
  <si>
    <t xml:space="preserve">Bank debt + finance leases at Completion</t>
  </si>
  <si>
    <t xml:space="preserve">Equity Value before WC adjustment</t>
  </si>
  <si>
    <t xml:space="preserve">Target Working Capital</t>
  </si>
  <si>
    <t xml:space="preserve">Per SPA Clause 4.2</t>
  </si>
  <si>
    <t xml:space="preserve">Actual Working Capital</t>
  </si>
  <si>
    <t xml:space="preserve">Per draft Completion Accounts</t>
  </si>
  <si>
    <t xml:space="preserve">Working Capital adjustment (Actual less Target)</t>
  </si>
  <si>
    <t xml:space="preserve">Equity Value (final, illustrative)</t>
  </si>
  <si>
    <t xml:space="preserve">Initial cash consideration paid at Completion</t>
  </si>
  <si>
    <t xml:space="preserve">Per Funds Flow</t>
  </si>
  <si>
    <t xml:space="preserve">Adjustment payable to Sellers (post-completion)</t>
  </si>
  <si>
    <t xml:space="preserve">Source: SPA Clauses 3–4 and Schedule 8 (Completion Accounts). Inputs in blue; calculations in black.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</si>
</sst>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6" t="n">
        <v>42500000</v>
      </c>
    </row>
    <row r="6" customFormat="false" ht="15" hidden="false" customHeight="false" outlineLevel="0" collapsed="false">
      <c r="A6" s="4" t="s">
        <v>7</v>
      </c>
      <c r="B6" s="5" t="s">
        <v>8</v>
      </c>
      <c r="C6" s="6" t="n">
        <v>2640000</v>
      </c>
    </row>
    <row r="7" customFormat="false" ht="15" hidden="false" customHeight="false" outlineLevel="0" collapsed="false">
      <c r="A7" s="4" t="s">
        <v>9</v>
      </c>
      <c r="B7" s="5" t="s">
        <v>10</v>
      </c>
      <c r="C7" s="6" t="n">
        <v>-1800000</v>
      </c>
    </row>
    <row r="8" customFormat="false" ht="15" hidden="false" customHeight="false" outlineLevel="0" collapsed="false">
      <c r="A8" s="7" t="s">
        <v>11</v>
      </c>
      <c r="B8" s="8"/>
      <c r="C8" s="9" t="n">
        <f aca="false">C5+C6+C7</f>
        <v>43340000</v>
      </c>
    </row>
    <row r="9" customFormat="false" ht="15" hidden="false" customHeight="false" outlineLevel="0" collapsed="false">
      <c r="A9" s="4" t="s">
        <v>12</v>
      </c>
      <c r="B9" s="5" t="s">
        <v>13</v>
      </c>
      <c r="C9" s="6" t="n">
        <v>4200000</v>
      </c>
    </row>
    <row r="10" customFormat="false" ht="15" hidden="false" customHeight="false" outlineLevel="0" collapsed="false">
      <c r="A10" s="4" t="s">
        <v>14</v>
      </c>
      <c r="B10" s="5" t="s">
        <v>15</v>
      </c>
      <c r="C10" s="6" t="n">
        <v>4560000</v>
      </c>
    </row>
    <row r="11" customFormat="false" ht="15" hidden="false" customHeight="false" outlineLevel="0" collapsed="false">
      <c r="A11" s="7" t="s">
        <v>16</v>
      </c>
      <c r="B11" s="8"/>
      <c r="C11" s="9" t="n">
        <f aca="false">C10-C9</f>
        <v>360000</v>
      </c>
    </row>
    <row r="12" customFormat="false" ht="15" hidden="false" customHeight="false" outlineLevel="0" collapsed="false">
      <c r="A12" s="7" t="s">
        <v>17</v>
      </c>
      <c r="B12" s="8"/>
      <c r="C12" s="9" t="n">
        <f aca="false">C8+C11</f>
        <v>43700000</v>
      </c>
    </row>
    <row r="13" customFormat="false" ht="15" hidden="false" customHeight="false" outlineLevel="0" collapsed="false">
      <c r="A13" s="4" t="s">
        <v>18</v>
      </c>
      <c r="B13" s="5" t="s">
        <v>19</v>
      </c>
      <c r="C13" s="6" t="n">
        <v>39500000</v>
      </c>
    </row>
    <row r="14" customFormat="false" ht="15" hidden="false" customHeight="false" outlineLevel="0" collapsed="false">
      <c r="A14" s="7" t="s">
        <v>20</v>
      </c>
      <c r="B14" s="8"/>
      <c r="C14" s="9" t="n">
        <f aca="false">C12-C13</f>
        <v>4200000</v>
      </c>
    </row>
    <row r="16" customFormat="false" ht="15" hidden="false" customHeight="false" outlineLevel="0" collapsed="false">
      <c r="A16" s="1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2026-06-26T10:30:47Z</dcterms:created>
  <dc:creator>openpyxl</dc:creator>
  <dc:description/>
  <dc:language>en-US</dc:language>
  <cp:lastModifiedBy/>
  <dcterms:modified xsi:type="dcterms:W3CDTF">2026-06-26T10:30:47Z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