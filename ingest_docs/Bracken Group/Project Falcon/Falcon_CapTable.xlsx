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<sst xmlns="http://schemas.openxmlformats.org/spreadsheetml/2006/main" count="30" uniqueCount="26">
  <si>
    <t xml:space="preserve">Greaves Precision Components Limited — Cap Table (Pre / Post Acquisition)</t>
  </si>
  <si>
    <t xml:space="preserve">Project Falcon · WC-00116 · Prepared by Whitfield Carter LLP · 10 October 2025</t>
  </si>
  <si>
    <t xml:space="preserve">Shareholder</t>
  </si>
  <si>
    <t xml:space="preserve">Class</t>
  </si>
  <si>
    <t xml:space="preserve">Shares (Pre)</t>
  </si>
  <si>
    <t xml:space="preserve">% (Pre)</t>
  </si>
  <si>
    <t xml:space="preserve">Consideration (£)</t>
  </si>
  <si>
    <t xml:space="preserve">Shares (Post-completion)</t>
  </si>
  <si>
    <t xml:space="preserve">% (Post)</t>
  </si>
  <si>
    <t xml:space="preserve">Geoffrey Greaves</t>
  </si>
  <si>
    <t xml:space="preserve">Ordinary £1</t>
  </si>
  <si>
    <t xml:space="preserve">Margaret Greaves</t>
  </si>
  <si>
    <t xml:space="preserve">Daniel Greaves</t>
  </si>
  <si>
    <t xml:space="preserve">Greaves Family Trust</t>
  </si>
  <si>
    <t xml:space="preserve">TOTAL (Pre)</t>
  </si>
  <si>
    <t xml:space="preserve">Bracken Group plc (new holder)</t>
  </si>
  <si>
    <t xml:space="preserve">TOTAL (Post)</t>
  </si>
  <si>
    <t xml:space="preserve">Headline equity consideration (£)</t>
  </si>
  <si>
    <t xml:space="preserve">Equity Bridge</t>
  </si>
  <si>
    <t xml:space="preserve">Enterprise value</t>
  </si>
  <si>
    <t xml:space="preserve">less: Estimated net debt</t>
  </si>
  <si>
    <t xml:space="preserve">Equity value (headline)</t>
  </si>
  <si>
    <t xml:space="preserve">  of which: Completion cash</t>
  </si>
  <si>
    <t xml:space="preserve">  of which: Escrow (21 months)</t>
  </si>
  <si>
    <t xml:space="preserve">  of which: Earn-out (max, FY2026)</t>
  </si>
  <si>
    <t xml:space="preserve">Check (cash + escrow + earn-out)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</si>
</sst>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"/>
    <numFmt numFmtId="167" formatCode="\£#,##0;&quot;(£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600000</v>
      </c>
      <c r="D5" s="6" t="n">
        <f aca="false">C5/$C$9</f>
        <v>0.6</v>
      </c>
      <c r="E5" s="7" t="n">
        <f aca="false">D5*$B$12</f>
        <v>15240000</v>
      </c>
      <c r="F5" s="8" t="n">
        <v>0</v>
      </c>
      <c r="G5" s="4"/>
    </row>
    <row r="6" customFormat="false" ht="15" hidden="false" customHeight="false" outlineLevel="0" collapsed="false">
      <c r="A6" s="4" t="s">
        <v>11</v>
      </c>
      <c r="B6" s="4" t="s">
        <v>10</v>
      </c>
      <c r="C6" s="5" t="n">
        <v>150000</v>
      </c>
      <c r="D6" s="6" t="n">
        <f aca="false">C6/$C$9</f>
        <v>0.15</v>
      </c>
      <c r="E6" s="7" t="n">
        <f aca="false">D6*$B$12</f>
        <v>3810000</v>
      </c>
      <c r="F6" s="8" t="n">
        <v>0</v>
      </c>
      <c r="G6" s="4"/>
    </row>
    <row r="7" customFormat="false" ht="15" hidden="false" customHeight="false" outlineLevel="0" collapsed="false">
      <c r="A7" s="4" t="s">
        <v>12</v>
      </c>
      <c r="B7" s="4" t="s">
        <v>10</v>
      </c>
      <c r="C7" s="5" t="n">
        <v>150000</v>
      </c>
      <c r="D7" s="6" t="n">
        <f aca="false">C7/$C$9</f>
        <v>0.15</v>
      </c>
      <c r="E7" s="7" t="n">
        <f aca="false">D7*$B$12</f>
        <v>3810000</v>
      </c>
      <c r="F7" s="8" t="n">
        <v>0</v>
      </c>
      <c r="G7" s="4"/>
    </row>
    <row r="8" customFormat="false" ht="15" hidden="false" customHeight="false" outlineLevel="0" collapsed="false">
      <c r="A8" s="4" t="s">
        <v>13</v>
      </c>
      <c r="B8" s="4" t="s">
        <v>10</v>
      </c>
      <c r="C8" s="5" t="n">
        <v>100000</v>
      </c>
      <c r="D8" s="6" t="n">
        <f aca="false">C8/$C$9</f>
        <v>0.1</v>
      </c>
      <c r="E8" s="7" t="n">
        <f aca="false">D8*$B$12</f>
        <v>2540000</v>
      </c>
      <c r="F8" s="8" t="n">
        <v>0</v>
      </c>
      <c r="G8" s="4"/>
    </row>
    <row r="9" customFormat="false" ht="15" hidden="false" customHeight="false" outlineLevel="0" collapsed="false">
      <c r="A9" s="9" t="s">
        <v>14</v>
      </c>
      <c r="B9" s="10"/>
      <c r="C9" s="11" t="n">
        <f aca="false">SUM(C5:C8)</f>
        <v>1000000</v>
      </c>
      <c r="D9" s="12" t="n">
        <f aca="false">SUM(D5:D8)</f>
        <v>1</v>
      </c>
      <c r="E9" s="13" t="n">
        <f aca="false">SUM(E5:E8)</f>
        <v>25400000</v>
      </c>
      <c r="F9" s="10"/>
      <c r="G9" s="10"/>
    </row>
    <row r="10" customFormat="false" ht="15" hidden="false" customHeight="false" outlineLevel="0" collapsed="false">
      <c r="A10" s="4" t="s">
        <v>15</v>
      </c>
      <c r="B10" s="4" t="s">
        <v>10</v>
      </c>
      <c r="C10" s="10"/>
      <c r="D10" s="10"/>
      <c r="E10" s="10"/>
      <c r="F10" s="5" t="n">
        <v>1000000</v>
      </c>
      <c r="G10" s="6" t="n">
        <f aca="false">F10/$F$11</f>
        <v>1</v>
      </c>
    </row>
    <row r="11" customFormat="false" ht="15" hidden="false" customHeight="false" outlineLevel="0" collapsed="false">
      <c r="A11" s="9" t="s">
        <v>16</v>
      </c>
      <c r="B11" s="10"/>
      <c r="C11" s="10"/>
      <c r="D11" s="10"/>
      <c r="E11" s="10"/>
      <c r="F11" s="11" t="n">
        <f aca="false">SUM(F5:F10)</f>
        <v>1000000</v>
      </c>
      <c r="G11" s="12" t="n">
        <f aca="false">F11/F11</f>
        <v>1</v>
      </c>
    </row>
    <row r="12" customFormat="false" ht="15" hidden="false" customHeight="false" outlineLevel="0" collapsed="false">
      <c r="A12" s="14" t="s">
        <v>17</v>
      </c>
      <c r="B12" s="15" t="n">
        <v>25400000</v>
      </c>
    </row>
    <row r="14" customFormat="false" ht="15" hidden="false" customHeight="false" outlineLevel="0" collapsed="false">
      <c r="A14" s="14" t="s">
        <v>18</v>
      </c>
    </row>
    <row r="15" customFormat="false" ht="15" hidden="false" customHeight="false" outlineLevel="0" collapsed="false">
      <c r="A15" s="0" t="s">
        <v>19</v>
      </c>
      <c r="B15" s="15" t="n">
        <v>28000000</v>
      </c>
    </row>
    <row r="16" customFormat="false" ht="15" hidden="false" customHeight="false" outlineLevel="0" collapsed="false">
      <c r="A16" s="0" t="s">
        <v>20</v>
      </c>
      <c r="B16" s="15" t="n">
        <v>-2600000</v>
      </c>
    </row>
    <row r="17" customFormat="false" ht="15" hidden="false" customHeight="false" outlineLevel="0" collapsed="false">
      <c r="A17" s="14" t="s">
        <v>21</v>
      </c>
      <c r="B17" s="16" t="n">
        <f aca="false">B15+B16</f>
        <v>25400000</v>
      </c>
    </row>
    <row r="18" customFormat="false" ht="15" hidden="false" customHeight="false" outlineLevel="0" collapsed="false">
      <c r="A18" s="0" t="s">
        <v>22</v>
      </c>
      <c r="B18" s="15" t="n">
        <v>22900000</v>
      </c>
    </row>
    <row r="19" customFormat="false" ht="15" hidden="false" customHeight="false" outlineLevel="0" collapsed="false">
      <c r="A19" s="0" t="s">
        <v>23</v>
      </c>
      <c r="B19" s="15" t="n">
        <v>1500000</v>
      </c>
    </row>
    <row r="20" customFormat="false" ht="15" hidden="false" customHeight="false" outlineLevel="0" collapsed="false">
      <c r="A20" s="0" t="s">
        <v>24</v>
      </c>
      <c r="B20" s="15" t="n">
        <v>1000000</v>
      </c>
    </row>
    <row r="21" customFormat="false" ht="15" hidden="false" customHeight="false" outlineLevel="0" collapsed="false">
      <c r="A21" s="14" t="s">
        <v>25</v>
      </c>
      <c r="B21" s="16" t="n">
        <f aca="false">B18+B19+B20</f>
        <v>25400000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2026-06-25T12:56:51Z</dcterms:created>
  <dc:creator>openpyxl</dc:creator>
  <dc:description/>
  <dc:language>en-US</dc:language>
  <cp:lastModifiedBy/>
  <dcterms:modified xsi:type="dcterms:W3CDTF">2026-06-25T12:56:51Z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