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<sst xmlns="http://schemas.openxmlformats.org/spreadsheetml/2006/main" count="30" uniqueCount="28">
  <si>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Project Falcon — Completion Funds Flow Statement</t>
  </si>
  <si>
    <t xml:space="preserve">Acquisition of Greaves Precision Components Limited · Completion 10 October 2025 · Whitfield Carter LLP</t>
  </si>
  <si>
    <t xml:space="preserve">SOURCES OF FUNDS</t>
  </si>
  <si>
    <t xml:space="preserve">Item</t>
  </si>
  <si>
    <t xml:space="preserve">From</t>
  </si>
  <si>
    <t xml:space="preserve">£</t>
  </si>
  <si>
    <t xml:space="preserve">Bracken Group plc — existing cash</t>
  </si>
  <si>
    <t xml:space="preserve">Bracken Group plc</t>
  </si>
  <si>
    <t xml:space="preserve">Bracken Group plc — RCF drawdown</t>
  </si>
  <si>
    <t xml:space="preserve">Sterling Commercial Bank (RCF)</t>
  </si>
  <si>
    <t xml:space="preserve">TOTAL SOURCES</t>
  </si>
  <si>
    <t xml:space="preserve">APPLICATION OF FUNDS</t>
  </si>
  <si>
    <t xml:space="preserve">To / Payee</t>
  </si>
  <si>
    <t xml:space="preserve">Completion Payment for the Shares</t>
  </si>
  <si>
    <t xml:space="preserve">Castle &amp; Vane LLP (Sellers' solicitors client account)</t>
  </si>
  <si>
    <t xml:space="preserve">Escrow Amount (21 months)</t>
  </si>
  <si>
    <t xml:space="preserve">Escrow Account (joint solicitors)</t>
  </si>
  <si>
    <t xml:space="preserve">SDRT on share transfer (0.5% × £25,400,000)</t>
  </si>
  <si>
    <t xml:space="preserve">HMRC (post-completion)</t>
  </si>
  <si>
    <t xml:space="preserve">Buyer's legal fees (Whitfield Carter LLP)</t>
  </si>
  <si>
    <t xml:space="preserve">Whitfield Carter LLP</t>
  </si>
  <si>
    <t xml:space="preserve">Financial due diligence fees</t>
  </si>
  <si>
    <t xml:space="preserve">Marlow Tax &amp; Advisory Ltd</t>
  </si>
  <si>
    <t xml:space="preserve">RCF arrangement fee</t>
  </si>
  <si>
    <t xml:space="preserve">Sterling Commercial Bank plc</t>
  </si>
  <si>
    <t xml:space="preserve">TOTAL APPLICATION</t>
  </si>
  <si>
    <t xml:space="preserve">Sources less Application (should net to retained cash buffer)</t>
  </si>
  <si>
    <t xml:space="preserve">Note: SDRT of £127,000 is payable to HMRC within 30 days of completion and is shown for completeness.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</si>
</sst>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EC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6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6" t="n">
        <v>18900000</v>
      </c>
    </row>
    <row r="7" customFormat="false" ht="15" hidden="false" customHeight="false" outlineLevel="0" collapsed="false">
      <c r="A7" s="5" t="s">
        <v>8</v>
      </c>
      <c r="B7" s="5" t="s">
        <v>9</v>
      </c>
      <c r="C7" s="6" t="n">
        <v>6000000</v>
      </c>
    </row>
    <row r="8" customFormat="false" ht="15" hidden="false" customHeight="false" outlineLevel="0" collapsed="false">
      <c r="A8" s="7" t="s">
        <v>10</v>
      </c>
      <c r="B8" s="5"/>
      <c r="C8" s="8" t="n">
        <f aca="false">SUM(C6:C7)</f>
        <v>24900000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4" t="s">
        <v>3</v>
      </c>
      <c r="B11" s="4" t="s">
        <v>12</v>
      </c>
      <c r="C11" s="4" t="s">
        <v>5</v>
      </c>
    </row>
    <row r="12" customFormat="false" ht="15" hidden="false" customHeight="false" outlineLevel="0" collapsed="false">
      <c r="A12" s="5" t="s">
        <v>13</v>
      </c>
      <c r="B12" s="5" t="s">
        <v>14</v>
      </c>
      <c r="C12" s="6" t="n">
        <v>22900000</v>
      </c>
    </row>
    <row r="13" customFormat="false" ht="15" hidden="false" customHeight="false" outlineLevel="0" collapsed="false">
      <c r="A13" s="5" t="s">
        <v>15</v>
      </c>
      <c r="B13" s="5" t="s">
        <v>16</v>
      </c>
      <c r="C13" s="6" t="n">
        <v>1500000</v>
      </c>
    </row>
    <row r="14" customFormat="false" ht="15" hidden="false" customHeight="false" outlineLevel="0" collapsed="false">
      <c r="A14" s="5" t="s">
        <v>17</v>
      </c>
      <c r="B14" s="5" t="s">
        <v>18</v>
      </c>
      <c r="C14" s="6" t="n">
        <v>127000</v>
      </c>
    </row>
    <row r="15" customFormat="false" ht="15" hidden="false" customHeight="false" outlineLevel="0" collapsed="false">
      <c r="A15" s="5" t="s">
        <v>19</v>
      </c>
      <c r="B15" s="5" t="s">
        <v>20</v>
      </c>
      <c r="C15" s="6" t="n">
        <v>185000</v>
      </c>
    </row>
    <row r="16" customFormat="false" ht="15" hidden="false" customHeight="false" outlineLevel="0" collapsed="false">
      <c r="A16" s="5" t="s">
        <v>21</v>
      </c>
      <c r="B16" s="5" t="s">
        <v>22</v>
      </c>
      <c r="C16" s="6" t="n">
        <v>58000</v>
      </c>
    </row>
    <row r="17" customFormat="false" ht="15" hidden="false" customHeight="false" outlineLevel="0" collapsed="false">
      <c r="A17" s="5" t="s">
        <v>23</v>
      </c>
      <c r="B17" s="5" t="s">
        <v>24</v>
      </c>
      <c r="C17" s="6" t="n">
        <v>30000</v>
      </c>
    </row>
    <row r="18" customFormat="false" ht="15" hidden="false" customHeight="false" outlineLevel="0" collapsed="false">
      <c r="A18" s="7" t="s">
        <v>25</v>
      </c>
      <c r="B18" s="5"/>
      <c r="C18" s="8" t="n">
        <f aca="false">SUM(C12:C17)</f>
        <v>24800000</v>
      </c>
    </row>
    <row r="20" customFormat="false" ht="15" hidden="false" customHeight="false" outlineLevel="0" collapsed="false">
      <c r="A20" s="9" t="s">
        <v>26</v>
      </c>
      <c r="C20" s="10" t="n">
        <f aca="false">C8-C18</f>
        <v>100000</v>
      </c>
    </row>
    <row r="21" customFormat="false" ht="15" hidden="false" customHeight="false" outlineLevel="0" collapsed="false">
      <c r="A21" s="1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2026-06-25T12:56:51Z</dcterms:created>
  <dc:creator>openpyxl</dc:creator>
  <dc:description/>
  <dc:language>en-US</dc:language>
  <cp:lastModifiedBy/>
  <dcterms:modified xsi:type="dcterms:W3CDTF">2026-06-25T12:56:51Z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