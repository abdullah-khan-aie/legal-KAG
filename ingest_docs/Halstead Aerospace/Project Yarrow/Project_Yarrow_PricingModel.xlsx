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Build" sheetId="2" state="visible" r:id="rId4"/>
    <sheet name="Item Price 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<sst xmlns="http://schemas.openxmlformats.org/spreadsheetml/2006/main" count="64" uniqueCount="52">
  <si>
    <t xml:space="preserve">Project Yarrow — Pricing Model</t>
  </si>
  <si>
    <t xml:space="preserve">Halstead Aerospace Limited  /  Caldera Mobility Systems plc — CMS-1 Skylark composite airframe structures</t>
  </si>
  <si>
    <t xml:space="preserve">Basis: LTSA Schedule 3 (Year-1 Unit Prices), Schedule 2 (volumes), clause 8.4 (escalation). All figures £ ex-VAT.</t>
  </si>
  <si>
    <t xml:space="preserve">Assumptions</t>
  </si>
  <si>
    <t xml:space="preserve">Value</t>
  </si>
  <si>
    <t xml:space="preserve">Source</t>
  </si>
  <si>
    <t xml:space="preserve">Year-1 unit prices (£)</t>
  </si>
  <si>
    <t xml:space="preserve">  Y-101 Forward fuselage barrel</t>
  </si>
  <si>
    <t xml:space="preserve">LTSA Sch.3</t>
  </si>
  <si>
    <t xml:space="preserve">  Y-102 Centre wing box</t>
  </si>
  <si>
    <t xml:space="preserve">  Y-103 Outboard wing assy — LH</t>
  </si>
  <si>
    <t xml:space="preserve">  Y-104 Outboard wing assy — RH</t>
  </si>
  <si>
    <t xml:space="preserve">Escalation: % of CPI applied</t>
  </si>
  <si>
    <t xml:space="preserve">clause 8.4</t>
  </si>
  <si>
    <t xml:space="preserve">Assumed CPI (annual)</t>
  </si>
  <si>
    <t xml:space="preserve">planning assumption</t>
  </si>
  <si>
    <t xml:space="preserve">Escalation cap (per year)</t>
  </si>
  <si>
    <t xml:space="preserve">clause 8.4 (final)</t>
  </si>
  <si>
    <t xml:space="preserve">Escalation floor</t>
  </si>
  <si>
    <t xml:space="preserve">Volume rebate threshold (Ship-sets/yr)</t>
  </si>
  <si>
    <t xml:space="preserve">clause 8.3</t>
  </si>
  <si>
    <t xml:space="preserve">Volume rebate rate</t>
  </si>
  <si>
    <t xml:space="preserve">Shortfall charge rate</t>
  </si>
  <si>
    <t xml:space="preserve">Sch.2 (final)</t>
  </si>
  <si>
    <t xml:space="preserve">Ship-set price (Year 1)</t>
  </si>
  <si>
    <t xml:space="preserve">Revenue build-up by Contract Year (£ ex-VAT)</t>
  </si>
  <si>
    <t xml:space="preserve">Line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</si>
  <si>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</si>
  <si>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</si>
  <si>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</si>
  <si>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</si>
  <si>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</si>
  <si>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</si>
  <si>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</si>
  <si>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Total</t>
  </si>
  <si>
    <t xml:space="preserve">Planning forecast (Ship-sets)</t>
  </si>
  <si>
    <t xml:space="preserve">Minimum volume commitment</t>
  </si>
  <si>
    <t xml:space="preserve">Ship-set price (£, escalated)</t>
  </si>
  <si>
    <t xml:space="preserve">Gross revenue (forecast)</t>
  </si>
  <si>
    <t xml:space="preserve">Less: volume rebate</t>
  </si>
  <si>
    <t xml:space="preserve">Net revenue</t>
  </si>
  <si>
    <t xml:space="preserve">Aggregate contract value — escalated mid-case (net)</t>
  </si>
  <si>
    <t xml:space="preserve">Aggregate contract value — un-escalated (Year-1 prices, net of rebate)</t>
  </si>
  <si>
    <t xml:space="preserve">Cross-check: LTSA clause 8.2 indicative value (£148.4m, rounded)</t>
  </si>
  <si>
    <t xml:space="preserve">Variance (un-escalated vs clause 8.2 rounded indicative)</t>
  </si>
  <si>
    <t xml:space="preserve">Item Unit Prices by Contract Year (£ ex-VAT, escalated per clause 8.4)</t>
  </si>
  <si>
    <t xml:space="preserve">Item</t>
  </si>
  <si>
    <t xml:space="preserve">Y-101 Forward fuselage barrel</t>
  </si>
  <si>
    <t xml:space="preserve">Y-102 Centre wing box</t>
  </si>
  <si>
    <t xml:space="preserve">Y-103 Outboard wing — LH</t>
  </si>
  <si>
    <t xml:space="preserve">Y-104 Outboard wing — RH</t>
  </si>
  <si>
    <t xml:space="preserve">Ship-set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</si>
</sst>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"/>
    <numFmt numFmtId="167" formatCode="\£#,##0"/>
    <numFmt numFmtId="168" formatCode="\£#,##0"/>
    <numFmt numFmtId="169" formatCode="\£#,##0;&quot;(£&quot;#,##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4" t="s">
        <v>3</v>
      </c>
      <c r="B4" s="4" t="s">
        <v>4</v>
      </c>
      <c r="C4" s="4" t="s">
        <v>5</v>
      </c>
    </row>
    <row r="5" customFormat="false" ht="15" hidden="false" customHeight="true" outlineLevel="0" collapsed="false">
      <c r="A5" s="1" t="s">
        <v>6</v>
      </c>
      <c r="C5" s="5"/>
    </row>
    <row r="6" customFormat="false" ht="15" hidden="false" customHeight="true" outlineLevel="0" collapsed="false">
      <c r="A6" s="1" t="s">
        <v>7</v>
      </c>
      <c r="B6" s="6" t="n">
        <v>96500</v>
      </c>
      <c r="C6" s="5" t="s">
        <v>8</v>
      </c>
    </row>
    <row r="7" customFormat="false" ht="15" hidden="false" customHeight="true" outlineLevel="0" collapsed="false">
      <c r="A7" s="1" t="s">
        <v>9</v>
      </c>
      <c r="B7" s="6" t="n">
        <v>88200</v>
      </c>
      <c r="C7" s="5" t="s">
        <v>8</v>
      </c>
    </row>
    <row r="8" customFormat="false" ht="15" hidden="false" customHeight="true" outlineLevel="0" collapsed="false">
      <c r="A8" s="1" t="s">
        <v>10</v>
      </c>
      <c r="B8" s="6" t="n">
        <v>47400</v>
      </c>
      <c r="C8" s="5" t="s">
        <v>8</v>
      </c>
    </row>
    <row r="9" customFormat="false" ht="15" hidden="false" customHeight="true" outlineLevel="0" collapsed="false">
      <c r="A9" s="1" t="s">
        <v>11</v>
      </c>
      <c r="B9" s="6" t="n">
        <v>47400</v>
      </c>
      <c r="C9" s="5" t="s">
        <v>8</v>
      </c>
    </row>
    <row r="10" customFormat="false" ht="15" hidden="false" customHeight="true" outlineLevel="0" collapsed="false">
      <c r="A10" s="1" t="s">
        <v>12</v>
      </c>
      <c r="B10" s="7" t="n">
        <v>0.8</v>
      </c>
      <c r="C10" s="5" t="s">
        <v>13</v>
      </c>
    </row>
    <row r="11" customFormat="false" ht="15" hidden="false" customHeight="true" outlineLevel="0" collapsed="false">
      <c r="A11" s="1" t="s">
        <v>14</v>
      </c>
      <c r="B11" s="7" t="n">
        <v>0.031</v>
      </c>
      <c r="C11" s="5" t="s">
        <v>15</v>
      </c>
    </row>
    <row r="12" customFormat="false" ht="15" hidden="false" customHeight="true" outlineLevel="0" collapsed="false">
      <c r="A12" s="1" t="s">
        <v>16</v>
      </c>
      <c r="B12" s="7" t="n">
        <v>0.05</v>
      </c>
      <c r="C12" s="5" t="s">
        <v>17</v>
      </c>
    </row>
    <row r="13" customFormat="false" ht="15" hidden="false" customHeight="true" outlineLevel="0" collapsed="false">
      <c r="A13" s="1" t="s">
        <v>18</v>
      </c>
      <c r="B13" s="7" t="n">
        <v>0</v>
      </c>
      <c r="C13" s="5" t="s">
        <v>13</v>
      </c>
    </row>
    <row r="14" customFormat="false" ht="15" hidden="false" customHeight="true" outlineLevel="0" collapsed="false">
      <c r="A14" s="1" t="s">
        <v>19</v>
      </c>
      <c r="B14" s="8" t="n">
        <v>90</v>
      </c>
      <c r="C14" s="5" t="s">
        <v>20</v>
      </c>
    </row>
    <row r="15" customFormat="false" ht="15" hidden="false" customHeight="true" outlineLevel="0" collapsed="false">
      <c r="A15" s="1" t="s">
        <v>21</v>
      </c>
      <c r="B15" s="7" t="n">
        <v>0.02</v>
      </c>
      <c r="C15" s="5" t="s">
        <v>20</v>
      </c>
    </row>
    <row r="16" customFormat="false" ht="15" hidden="false" customHeight="true" outlineLevel="0" collapsed="false">
      <c r="A16" s="1" t="s">
        <v>22</v>
      </c>
      <c r="B16" s="7" t="n">
        <v>0.2</v>
      </c>
      <c r="C16" s="5" t="s">
        <v>23</v>
      </c>
    </row>
    <row r="18" customFormat="false" ht="15" hidden="false" customHeight="true" outlineLevel="0" collapsed="false">
      <c r="A18" s="9" t="s">
        <v>24</v>
      </c>
      <c r="B18" s="10" t="n">
        <f aca="false">B6+B7+B8+B9</f>
        <v>279500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3"/>
  </cols>
  <sheetData>
    <row r="1" customFormat="false" ht="15" hidden="false" customHeight="true" outlineLevel="0" collapsed="false">
      <c r="A1" s="11" t="s">
        <v>25</v>
      </c>
    </row>
    <row r="3" customFormat="false" ht="15" hidden="false" customHeight="true" outlineLevel="0" collapsed="false">
      <c r="A3" s="12" t="s">
        <v>26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customFormat="false" ht="15" hidden="false" customHeight="true" outlineLevel="0" collapsed="false">
      <c r="A4" s="13" t="s">
        <v>35</v>
      </c>
      <c r="B4" s="14" t="n">
        <v>30</v>
      </c>
      <c r="C4" s="14" t="n">
        <v>55</v>
      </c>
      <c r="D4" s="14" t="n">
        <v>80</v>
      </c>
      <c r="E4" s="14" t="n">
        <v>90</v>
      </c>
      <c r="F4" s="14" t="n">
        <v>95</v>
      </c>
      <c r="G4" s="14" t="n">
        <v>95</v>
      </c>
      <c r="H4" s="14" t="n">
        <v>95</v>
      </c>
      <c r="I4" s="15" t="n">
        <f aca="false">SUM(B4:H4)</f>
        <v>540</v>
      </c>
    </row>
    <row r="5" customFormat="false" ht="15" hidden="false" customHeight="true" outlineLevel="0" collapsed="false">
      <c r="A5" s="13" t="s">
        <v>36</v>
      </c>
      <c r="B5" s="14" t="n">
        <v>24</v>
      </c>
      <c r="C5" s="14" t="n">
        <v>42</v>
      </c>
      <c r="D5" s="14" t="n">
        <v>60</v>
      </c>
      <c r="E5" s="14" t="n">
        <v>72</v>
      </c>
      <c r="F5" s="14" t="n">
        <v>75</v>
      </c>
      <c r="G5" s="14" t="n">
        <v>72</v>
      </c>
      <c r="H5" s="14" t="n">
        <v>72</v>
      </c>
      <c r="I5" s="15" t="n">
        <f aca="false">SUM(B5:H5)</f>
        <v>417</v>
      </c>
    </row>
    <row r="6" customFormat="false" ht="15" hidden="false" customHeight="true" outlineLevel="0" collapsed="false">
      <c r="A6" s="13" t="s">
        <v>37</v>
      </c>
      <c r="B6" s="16" t="n">
        <f aca="false">Assumptions!B18</f>
        <v>279500</v>
      </c>
      <c r="C6" s="17" t="n">
        <f aca="false">B6*(1+MIN(Assumptions!$B$11,MAX(Assumptions!$B$12,Assumptions!$B$10*Assumptions!$B$11)))</f>
        <v>288164.5</v>
      </c>
      <c r="D6" s="17" t="n">
        <f aca="false">C6*(1+MIN(Assumptions!$B$11,MAX(Assumptions!$B$12,Assumptions!$B$10*Assumptions!$B$11)))</f>
        <v>297097.5995</v>
      </c>
      <c r="E6" s="17" t="n">
        <f aca="false">D6*(1+MIN(Assumptions!$B$11,MAX(Assumptions!$B$12,Assumptions!$B$10*Assumptions!$B$11)))</f>
        <v>306307.6250845</v>
      </c>
      <c r="F6" s="17" t="n">
        <f aca="false">E6*(1+MIN(Assumptions!$B$11,MAX(Assumptions!$B$12,Assumptions!$B$10*Assumptions!$B$11)))</f>
        <v>315803.161462119</v>
      </c>
      <c r="G6" s="17" t="n">
        <f aca="false">F6*(1+MIN(Assumptions!$B$11,MAX(Assumptions!$B$12,Assumptions!$B$10*Assumptions!$B$11)))</f>
        <v>325593.059467445</v>
      </c>
      <c r="H6" s="17" t="n">
        <f aca="false">G6*(1+MIN(Assumptions!$B$11,MAX(Assumptions!$B$12,Assumptions!$B$10*Assumptions!$B$11)))</f>
        <v>335686.444310936</v>
      </c>
      <c r="I6" s="18"/>
    </row>
    <row r="7" customFormat="false" ht="15" hidden="false" customHeight="true" outlineLevel="0" collapsed="false">
      <c r="A7" s="13" t="s">
        <v>38</v>
      </c>
      <c r="B7" s="19" t="n">
        <f aca="false">B4*B6</f>
        <v>8385000</v>
      </c>
      <c r="C7" s="19" t="n">
        <f aca="false">C4*C6</f>
        <v>15849047.5</v>
      </c>
      <c r="D7" s="19" t="n">
        <f aca="false">D4*D6</f>
        <v>23767807.96</v>
      </c>
      <c r="E7" s="19" t="n">
        <f aca="false">E4*E6</f>
        <v>27567686.257605</v>
      </c>
      <c r="F7" s="19" t="n">
        <f aca="false">F4*F6</f>
        <v>30001300.3389013</v>
      </c>
      <c r="G7" s="19" t="n">
        <f aca="false">G4*G6</f>
        <v>30931340.6494073</v>
      </c>
      <c r="H7" s="19" t="n">
        <f aca="false">H4*H6</f>
        <v>31890212.2095389</v>
      </c>
      <c r="I7" s="20" t="n">
        <f aca="false">SUM(B7:H7)</f>
        <v>168392394.915453</v>
      </c>
    </row>
    <row r="8" customFormat="false" ht="15" hidden="false" customHeight="true" outlineLevel="0" collapsed="false">
      <c r="A8" s="13" t="s">
        <v>39</v>
      </c>
      <c r="B8" s="19" t="n">
        <f aca="false">-MAX(0,B4-Assumptions!$B$14)*B6*Assumptions!$B$15</f>
        <v>-0</v>
      </c>
      <c r="C8" s="19" t="n">
        <f aca="false">-MAX(0,C4-Assumptions!$B$14)*C6*Assumptions!$B$15</f>
        <v>-0</v>
      </c>
      <c r="D8" s="19" t="n">
        <f aca="false">-MAX(0,D4-Assumptions!$B$14)*D6*Assumptions!$B$15</f>
        <v>-0</v>
      </c>
      <c r="E8" s="19" t="n">
        <f aca="false">-MAX(0,E4-Assumptions!$B$14)*E6*Assumptions!$B$15</f>
        <v>-0</v>
      </c>
      <c r="F8" s="19" t="n">
        <f aca="false">-MAX(0,F4-Assumptions!$B$14)*F6*Assumptions!$B$15</f>
        <v>-31580.3161462119</v>
      </c>
      <c r="G8" s="19" t="n">
        <f aca="false">-MAX(0,G4-Assumptions!$B$14)*G6*Assumptions!$B$15</f>
        <v>-32559.3059467445</v>
      </c>
      <c r="H8" s="19" t="n">
        <f aca="false">-MAX(0,H4-Assumptions!$B$14)*H6*Assumptions!$B$15</f>
        <v>-33568.6444310936</v>
      </c>
      <c r="I8" s="20" t="n">
        <f aca="false">SUM(B8:H8)</f>
        <v>-97708.2665240501</v>
      </c>
    </row>
    <row r="9" customFormat="false" ht="15" hidden="false" customHeight="true" outlineLevel="0" collapsed="false">
      <c r="A9" s="15" t="s">
        <v>40</v>
      </c>
      <c r="B9" s="21" t="n">
        <f aca="false">B7+B8</f>
        <v>8385000</v>
      </c>
      <c r="C9" s="21" t="n">
        <f aca="false">C7+C8</f>
        <v>15849047.5</v>
      </c>
      <c r="D9" s="21" t="n">
        <f aca="false">D7+D8</f>
        <v>23767807.96</v>
      </c>
      <c r="E9" s="21" t="n">
        <f aca="false">E7+E8</f>
        <v>27567686.257605</v>
      </c>
      <c r="F9" s="21" t="n">
        <f aca="false">F7+F8</f>
        <v>29969720.0227551</v>
      </c>
      <c r="G9" s="21" t="n">
        <f aca="false">G7+G8</f>
        <v>30898781.3434605</v>
      </c>
      <c r="H9" s="21" t="n">
        <f aca="false">H7+H8</f>
        <v>31856643.5651078</v>
      </c>
      <c r="I9" s="22" t="n">
        <f aca="false">SUM(B9:H9)</f>
        <v>168294686.648929</v>
      </c>
    </row>
    <row r="11" customFormat="false" ht="15" hidden="false" customHeight="true" outlineLevel="0" collapsed="false">
      <c r="A11" s="9" t="s">
        <v>41</v>
      </c>
      <c r="B11" s="23" t="n">
        <f aca="false">I9</f>
        <v>168294686.648929</v>
      </c>
    </row>
    <row r="12" customFormat="false" ht="15" hidden="false" customHeight="true" outlineLevel="0" collapsed="false">
      <c r="A12" s="24" t="s">
        <v>42</v>
      </c>
      <c r="B12" s="25" t="n">
        <f aca="false">SUMPRODUCT($B$4:$H$4,Assumptions!$B$18-IF($B$4:$H$4&gt;Assumptions!$B$14,(($B$4:$H$4-Assumptions!$B$14)/$B$4:$H$4)*Assumptions!$B$18*Assumptions!$B$15,0))</f>
        <v>150846150</v>
      </c>
    </row>
    <row r="13" customFormat="false" ht="15" hidden="false" customHeight="true" outlineLevel="0" collapsed="false">
      <c r="A13" s="24" t="s">
        <v>43</v>
      </c>
      <c r="B13" s="26" t="n">
        <v>148400000</v>
      </c>
    </row>
    <row r="14" customFormat="false" ht="15" hidden="false" customHeight="false" outlineLevel="0" collapsed="false">
      <c r="A14" s="1" t="s">
        <v>44</v>
      </c>
      <c r="B14" s="27" t="n">
        <f aca="false">B12-B13</f>
        <v>2446150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2"/>
  </cols>
  <sheetData>
    <row r="1" customFormat="false" ht="15" hidden="false" customHeight="true" outlineLevel="0" collapsed="false">
      <c r="A1" s="11" t="s">
        <v>45</v>
      </c>
    </row>
    <row r="3" customFormat="false" ht="15" hidden="false" customHeight="true" outlineLevel="0" collapsed="false">
      <c r="A3" s="12" t="s">
        <v>46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</row>
    <row r="4" customFormat="false" ht="15" hidden="false" customHeight="true" outlineLevel="0" collapsed="false">
      <c r="A4" s="28" t="s">
        <v>47</v>
      </c>
      <c r="B4" s="16" t="n">
        <f aca="false">Assumptions!B6</f>
        <v>96500</v>
      </c>
      <c r="C4" s="19" t="n">
        <f aca="false">B4*(1+MIN(Assumptions!$B$11,MAX(Assumptions!$B$12,Assumptions!$B$10*Assumptions!$B$11)))</f>
        <v>99491.5</v>
      </c>
      <c r="D4" s="19" t="n">
        <f aca="false">C4*(1+MIN(Assumptions!$B$11,MAX(Assumptions!$B$12,Assumptions!$B$10*Assumptions!$B$11)))</f>
        <v>102575.7365</v>
      </c>
      <c r="E4" s="19" t="n">
        <f aca="false">D4*(1+MIN(Assumptions!$B$11,MAX(Assumptions!$B$12,Assumptions!$B$10*Assumptions!$B$11)))</f>
        <v>105755.5843315</v>
      </c>
      <c r="F4" s="19" t="n">
        <f aca="false">E4*(1+MIN(Assumptions!$B$11,MAX(Assumptions!$B$12,Assumptions!$B$10*Assumptions!$B$11)))</f>
        <v>109034.007445776</v>
      </c>
      <c r="G4" s="19" t="n">
        <f aca="false">F4*(1+MIN(Assumptions!$B$11,MAX(Assumptions!$B$12,Assumptions!$B$10*Assumptions!$B$11)))</f>
        <v>112414.061676596</v>
      </c>
      <c r="H4" s="19" t="n">
        <f aca="false">G4*(1+MIN(Assumptions!$B$11,MAX(Assumptions!$B$12,Assumptions!$B$10*Assumptions!$B$11)))</f>
        <v>115898.89758857</v>
      </c>
    </row>
    <row r="5" customFormat="false" ht="15" hidden="false" customHeight="true" outlineLevel="0" collapsed="false">
      <c r="A5" s="28" t="s">
        <v>48</v>
      </c>
      <c r="B5" s="16" t="n">
        <f aca="false">Assumptions!B7</f>
        <v>88200</v>
      </c>
      <c r="C5" s="19" t="n">
        <f aca="false">B5*(1+MIN(Assumptions!$B$11,MAX(Assumptions!$B$12,Assumptions!$B$10*Assumptions!$B$11)))</f>
        <v>90934.2</v>
      </c>
      <c r="D5" s="19" t="n">
        <f aca="false">C5*(1+MIN(Assumptions!$B$11,MAX(Assumptions!$B$12,Assumptions!$B$10*Assumptions!$B$11)))</f>
        <v>93753.1602</v>
      </c>
      <c r="E5" s="19" t="n">
        <f aca="false">D5*(1+MIN(Assumptions!$B$11,MAX(Assumptions!$B$12,Assumptions!$B$10*Assumptions!$B$11)))</f>
        <v>96659.5081662</v>
      </c>
      <c r="F5" s="19" t="n">
        <f aca="false">E5*(1+MIN(Assumptions!$B$11,MAX(Assumptions!$B$12,Assumptions!$B$10*Assumptions!$B$11)))</f>
        <v>99655.9529193522</v>
      </c>
      <c r="G5" s="19" t="n">
        <f aca="false">F5*(1+MIN(Assumptions!$B$11,MAX(Assumptions!$B$12,Assumptions!$B$10*Assumptions!$B$11)))</f>
        <v>102745.287459852</v>
      </c>
      <c r="H5" s="19" t="n">
        <f aca="false">G5*(1+MIN(Assumptions!$B$11,MAX(Assumptions!$B$12,Assumptions!$B$10*Assumptions!$B$11)))</f>
        <v>105930.391371107</v>
      </c>
    </row>
    <row r="6" customFormat="false" ht="15" hidden="false" customHeight="true" outlineLevel="0" collapsed="false">
      <c r="A6" s="28" t="s">
        <v>49</v>
      </c>
      <c r="B6" s="16" t="n">
        <f aca="false">Assumptions!B8</f>
        <v>47400</v>
      </c>
      <c r="C6" s="19" t="n">
        <f aca="false">B6*(1+MIN(Assumptions!$B$11,MAX(Assumptions!$B$12,Assumptions!$B$10*Assumptions!$B$11)))</f>
        <v>48869.4</v>
      </c>
      <c r="D6" s="19" t="n">
        <f aca="false">C6*(1+MIN(Assumptions!$B$11,MAX(Assumptions!$B$12,Assumptions!$B$10*Assumptions!$B$11)))</f>
        <v>50384.3514</v>
      </c>
      <c r="E6" s="19" t="n">
        <f aca="false">D6*(1+MIN(Assumptions!$B$11,MAX(Assumptions!$B$12,Assumptions!$B$10*Assumptions!$B$11)))</f>
        <v>51946.2662934</v>
      </c>
      <c r="F6" s="19" t="n">
        <f aca="false">E6*(1+MIN(Assumptions!$B$11,MAX(Assumptions!$B$12,Assumptions!$B$10*Assumptions!$B$11)))</f>
        <v>53556.6005484954</v>
      </c>
      <c r="G6" s="19" t="n">
        <f aca="false">F6*(1+MIN(Assumptions!$B$11,MAX(Assumptions!$B$12,Assumptions!$B$10*Assumptions!$B$11)))</f>
        <v>55216.8551654987</v>
      </c>
      <c r="H6" s="19" t="n">
        <f aca="false">G6*(1+MIN(Assumptions!$B$11,MAX(Assumptions!$B$12,Assumptions!$B$10*Assumptions!$B$11)))</f>
        <v>56928.5776756292</v>
      </c>
    </row>
    <row r="7" customFormat="false" ht="15" hidden="false" customHeight="true" outlineLevel="0" collapsed="false">
      <c r="A7" s="28" t="s">
        <v>50</v>
      </c>
      <c r="B7" s="16" t="n">
        <f aca="false">Assumptions!B9</f>
        <v>47400</v>
      </c>
      <c r="C7" s="19" t="n">
        <f aca="false">B7*(1+MIN(Assumptions!$B$11,MAX(Assumptions!$B$12,Assumptions!$B$10*Assumptions!$B$11)))</f>
        <v>48869.4</v>
      </c>
      <c r="D7" s="19" t="n">
        <f aca="false">C7*(1+MIN(Assumptions!$B$11,MAX(Assumptions!$B$12,Assumptions!$B$10*Assumptions!$B$11)))</f>
        <v>50384.3514</v>
      </c>
      <c r="E7" s="19" t="n">
        <f aca="false">D7*(1+MIN(Assumptions!$B$11,MAX(Assumptions!$B$12,Assumptions!$B$10*Assumptions!$B$11)))</f>
        <v>51946.2662934</v>
      </c>
      <c r="F7" s="19" t="n">
        <f aca="false">E7*(1+MIN(Assumptions!$B$11,MAX(Assumptions!$B$12,Assumptions!$B$10*Assumptions!$B$11)))</f>
        <v>53556.6005484954</v>
      </c>
      <c r="G7" s="19" t="n">
        <f aca="false">F7*(1+MIN(Assumptions!$B$11,MAX(Assumptions!$B$12,Assumptions!$B$10*Assumptions!$B$11)))</f>
        <v>55216.8551654987</v>
      </c>
      <c r="H7" s="19" t="n">
        <f aca="false">G7*(1+MIN(Assumptions!$B$11,MAX(Assumptions!$B$12,Assumptions!$B$10*Assumptions!$B$11)))</f>
        <v>56928.5776756292</v>
      </c>
    </row>
    <row r="8" customFormat="false" ht="15" hidden="false" customHeight="true" outlineLevel="0" collapsed="false">
      <c r="A8" s="9" t="s">
        <v>51</v>
      </c>
      <c r="B8" s="21" t="n">
        <f aca="false">SUM(B4:B7)</f>
        <v>279500</v>
      </c>
      <c r="C8" s="21" t="n">
        <f aca="false">SUM(C4:C7)</f>
        <v>288164.5</v>
      </c>
      <c r="D8" s="21" t="n">
        <f aca="false">SUM(D4:D7)</f>
        <v>297097.5995</v>
      </c>
      <c r="E8" s="21" t="n">
        <f aca="false">SUM(E4:E7)</f>
        <v>306307.6250845</v>
      </c>
      <c r="F8" s="21" t="n">
        <f aca="false">SUM(F4:F7)</f>
        <v>315803.161462119</v>
      </c>
      <c r="G8" s="21" t="n">
        <f aca="false">SUM(G4:G7)</f>
        <v>325593.059467445</v>
      </c>
      <c r="H8" s="21" t="n">
        <f aca="false">SUM(H4:H7)</f>
        <v>335686.444310936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2026-06-26T14:45:39Z</dcterms:created>
  <dc:creator>openpyxl</dc:creator>
  <dc:description/>
  <dc:language>en-US</dc:language>
  <cp:lastModifiedBy/>
  <dcterms:modified xsi:type="dcterms:W3CDTF">2026-06-26T14:46:08Z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