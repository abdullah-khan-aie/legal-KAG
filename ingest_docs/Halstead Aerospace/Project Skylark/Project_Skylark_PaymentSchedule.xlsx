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ment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<sst xmlns="http://schemas.openxmlformats.org/spreadsheetml/2006/main" count="32" uniqueCount="30">
  <si>
    <t xml:space="preserve">Project Skylark – Payment &amp; Milestone Schedule</t>
  </si>
  <si>
    <t xml:space="preserve">Per executed Patent and Technology Licence Agreement dated 14 November 2024</t>
  </si>
  <si>
    <t xml:space="preserve">Ref</t>
  </si>
  <si>
    <t xml:space="preserve">Payment</t>
  </si>
  <si>
    <t xml:space="preserve">Basis (clause)</t>
  </si>
  <si>
    <t xml:space="preserve">Amount (£)</t>
  </si>
  <si>
    <t xml:space="preserve">Trigger / Due</t>
  </si>
  <si>
    <t xml:space="preserve">P1</t>
  </si>
  <si>
    <t xml:space="preserve">Upfront licence fee</t>
  </si>
  <si>
    <t xml:space="preserve">4.1</t>
  </si>
  <si>
    <t xml:space="preserve">Within 10 BD of Effective Date (by 28 Nov 2024)</t>
  </si>
  <si>
    <t xml:space="preserve">P2</t>
  </si>
  <si>
    <t xml:space="preserve">Type certification milestone</t>
  </si>
  <si>
    <t xml:space="preserve">4.3(a)</t>
  </si>
  <si>
    <t xml:space="preserve">On CAA/EASA type certification</t>
  </si>
  <si>
    <t xml:space="preserve">P3</t>
  </si>
  <si>
    <t xml:space="preserve">First commercial delivery milestone</t>
  </si>
  <si>
    <t xml:space="preserve">4.3(b)</t>
  </si>
  <si>
    <t xml:space="preserve">On first commercial delivery</t>
  </si>
  <si>
    <t xml:space="preserve">P4</t>
  </si>
  <si>
    <t xml:space="preserve">Annual minimum royalty (Year 3)</t>
  </si>
  <si>
    <t xml:space="preserve">4.4</t>
  </si>
  <si>
    <t xml:space="preserve">If running royalty &lt; £750,000 in Y3</t>
  </si>
  <si>
    <t xml:space="preserve">P5</t>
  </si>
  <si>
    <t xml:space="preserve">Annual minimum royalty (Year 4)</t>
  </si>
  <si>
    <t xml:space="preserve">If running royalty &lt; £750,000 in Y4</t>
  </si>
  <si>
    <t xml:space="preserve">P6</t>
  </si>
  <si>
    <t xml:space="preserve">Annual minimum royalty (Year 5)</t>
  </si>
  <si>
    <t xml:space="preserve">If running royalty &lt; £750,000 in Y5</t>
  </si>
  <si>
    <t xml:space="preserve">Total fixed &amp; milestone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</si>
</sst>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;&quot;(£&quot;#,##0\)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5" t="n">
        <f aca="false">4500000</f>
        <v>4500000</v>
      </c>
      <c r="E5" s="4" t="s">
        <v>10</v>
      </c>
    </row>
    <row r="6" customFormat="false" ht="15" hidden="false" customHeight="false" outlineLevel="0" collapsed="false">
      <c r="A6" s="4" t="s">
        <v>11</v>
      </c>
      <c r="B6" s="4" t="s">
        <v>12</v>
      </c>
      <c r="C6" s="4" t="s">
        <v>13</v>
      </c>
      <c r="D6" s="5" t="n">
        <f aca="false">1500000</f>
        <v>1500000</v>
      </c>
      <c r="E6" s="4" t="s">
        <v>14</v>
      </c>
    </row>
    <row r="7" customFormat="false" ht="15" hidden="false" customHeight="false" outlineLevel="0" collapsed="false">
      <c r="A7" s="4" t="s">
        <v>15</v>
      </c>
      <c r="B7" s="4" t="s">
        <v>16</v>
      </c>
      <c r="C7" s="4" t="s">
        <v>17</v>
      </c>
      <c r="D7" s="5" t="n">
        <f aca="false">2000000</f>
        <v>2000000</v>
      </c>
      <c r="E7" s="4" t="s">
        <v>18</v>
      </c>
    </row>
    <row r="8" customFormat="false" ht="15" hidden="false" customHeight="false" outlineLevel="0" collapsed="false">
      <c r="A8" s="4" t="s">
        <v>19</v>
      </c>
      <c r="B8" s="4" t="s">
        <v>20</v>
      </c>
      <c r="C8" s="4" t="s">
        <v>21</v>
      </c>
      <c r="D8" s="5" t="n">
        <f aca="false">750000</f>
        <v>750000</v>
      </c>
      <c r="E8" s="4" t="s">
        <v>22</v>
      </c>
    </row>
    <row r="9" customFormat="false" ht="15" hidden="false" customHeight="false" outlineLevel="0" collapsed="false">
      <c r="A9" s="4" t="s">
        <v>23</v>
      </c>
      <c r="B9" s="4" t="s">
        <v>24</v>
      </c>
      <c r="C9" s="4" t="s">
        <v>21</v>
      </c>
      <c r="D9" s="5" t="n">
        <f aca="false">750000</f>
        <v>750000</v>
      </c>
      <c r="E9" s="4" t="s">
        <v>25</v>
      </c>
    </row>
    <row r="10" customFormat="false" ht="15" hidden="false" customHeight="false" outlineLevel="0" collapsed="false">
      <c r="A10" s="4" t="s">
        <v>26</v>
      </c>
      <c r="B10" s="4" t="s">
        <v>27</v>
      </c>
      <c r="C10" s="4" t="s">
        <v>21</v>
      </c>
      <c r="D10" s="5" t="n">
        <f aca="false">750000</f>
        <v>750000</v>
      </c>
      <c r="E10" s="4" t="s">
        <v>28</v>
      </c>
    </row>
    <row r="11" customFormat="false" ht="15" hidden="false" customHeight="false" outlineLevel="0" collapsed="false">
      <c r="C11" s="6" t="s">
        <v>29</v>
      </c>
      <c r="D11" s="7" t="n">
        <f aca="false">SUM(D5:D7)</f>
        <v>8000000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2026-06-29T19:35:30Z</dcterms:created>
  <dc:creator>openpyxl</dc:creator>
  <dc:description/>
  <dc:language>en-US</dc:language>
  <cp:lastModifiedBy/>
  <dcterms:modified xsi:type="dcterms:W3CDTF">2026-06-29T19:35:30Z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