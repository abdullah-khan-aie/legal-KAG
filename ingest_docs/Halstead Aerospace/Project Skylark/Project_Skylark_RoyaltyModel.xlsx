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yalty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<sst xmlns="http://schemas.openxmlformats.org/spreadsheetml/2006/main" count="32" uniqueCount="32">
  <si>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Project Skylark – Royalty &amp; Income Projection Model</t>
  </si>
  <si>
    <t xml:space="preserve">Halstead Aerospace Limited (Licensor) — Caldera Mobility Systems plc (Licensee)</t>
  </si>
  <si>
    <t xml:space="preserve">All figures £ unless stated. Blue = input; black = formula.</t>
  </si>
  <si>
    <t xml:space="preserve">Assumptions</t>
  </si>
  <si>
    <t xml:space="preserve">Upfront licence fee</t>
  </si>
  <si>
    <t xml:space="preserve">Royalty rate (initial)</t>
  </si>
  <si>
    <t xml:space="preserve">Royalty rate (after step-down)</t>
  </si>
  <si>
    <t xml:space="preserve">Cumulative-royalty step-down threshold</t>
  </si>
  <si>
    <t xml:space="preserve">Annual minimum royalty (from Year 3)</t>
  </si>
  <si>
    <t xml:space="preserve">Milestone: type certification</t>
  </si>
  <si>
    <t xml:space="preserve">Milestone: first commercial delivery</t>
  </si>
  <si>
    <t xml:space="preserve">Projection by Year</t>
  </si>
  <si>
    <t xml:space="preserve">Line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</si>
  <si>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</si>
  <si>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</si>
  <si>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</si>
  <si>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</si>
  <si>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</si>
  <si>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</si>
  <si>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</si>
  <si>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Total</t>
  </si>
  <si>
    <t xml:space="preserve">Licensed Product deliveries (units)</t>
  </si>
  <si>
    <t xml:space="preserve">Avg Net Sales per unit (£)</t>
  </si>
  <si>
    <t xml:space="preserve">n/a</t>
  </si>
  <si>
    <t xml:space="preserve">Net Sales (£)</t>
  </si>
  <si>
    <t xml:space="preserve">Cumulative Net Sales (£)</t>
  </si>
  <si>
    <t xml:space="preserve">Running royalty @ rate (£)</t>
  </si>
  <si>
    <t xml:space="preserve">Minimum royalty top-up (£) (Y3+)</t>
  </si>
  <si>
    <t xml:space="preserve">Milestone payments (£)</t>
  </si>
  <si>
    <t xml:space="preserve">Upfront fee (£)</t>
  </si>
  <si>
    <t xml:space="preserve">Total income to Licensor (£)</t>
  </si>
  <si>
    <t xml:space="preserve">Note: deliveries and avg Net Sales per unit are illustrative inputs; royalty step-down at £12m cumulative (clause 4.2).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</si>
</sst>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7" customFormat="false" ht="15" hidden="false" customHeight="false" outlineLevel="0" collapsed="false">
      <c r="A7" s="5" t="s">
        <v>4</v>
      </c>
      <c r="B7" s="6" t="n">
        <v>4500000</v>
      </c>
    </row>
    <row r="8" customFormat="false" ht="15" hidden="false" customHeight="false" outlineLevel="0" collapsed="false">
      <c r="A8" s="5" t="s">
        <v>5</v>
      </c>
      <c r="B8" s="7" t="n">
        <v>0.045</v>
      </c>
    </row>
    <row r="9" customFormat="false" ht="15" hidden="false" customHeight="false" outlineLevel="0" collapsed="false">
      <c r="A9" s="5" t="s">
        <v>6</v>
      </c>
      <c r="B9" s="7" t="n">
        <v>0.03</v>
      </c>
    </row>
    <row r="10" customFormat="false" ht="15" hidden="false" customHeight="false" outlineLevel="0" collapsed="false">
      <c r="A10" s="5" t="s">
        <v>7</v>
      </c>
      <c r="B10" s="6" t="n">
        <v>12000000</v>
      </c>
    </row>
    <row r="11" customFormat="false" ht="15" hidden="false" customHeight="false" outlineLevel="0" collapsed="false">
      <c r="A11" s="5" t="s">
        <v>8</v>
      </c>
      <c r="B11" s="6" t="n">
        <v>750000</v>
      </c>
    </row>
    <row r="12" customFormat="false" ht="15" hidden="false" customHeight="false" outlineLevel="0" collapsed="false">
      <c r="A12" s="5" t="s">
        <v>9</v>
      </c>
      <c r="B12" s="6" t="n">
        <v>1500000</v>
      </c>
    </row>
    <row r="13" customFormat="false" ht="15" hidden="false" customHeight="false" outlineLevel="0" collapsed="false">
      <c r="A13" s="5" t="s">
        <v>10</v>
      </c>
      <c r="B13" s="6" t="n">
        <v>2000000</v>
      </c>
    </row>
    <row r="16" customFormat="false" ht="15" hidden="false" customHeight="false" outlineLevel="0" collapsed="false">
      <c r="A16" s="4" t="s">
        <v>11</v>
      </c>
    </row>
    <row r="17" customFormat="false" ht="15" hidden="false" customHeight="false" outlineLevel="0" collapsed="false">
      <c r="A17" s="8" t="s">
        <v>12</v>
      </c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18</v>
      </c>
      <c r="H17" s="8" t="s">
        <v>19</v>
      </c>
      <c r="I17" s="8" t="s">
        <v>20</v>
      </c>
    </row>
    <row r="18" customFormat="false" ht="15" hidden="false" customHeight="false" outlineLevel="0" collapsed="false">
      <c r="A18" s="9" t="s">
        <v>21</v>
      </c>
      <c r="B18" s="10" t="n">
        <v>0</v>
      </c>
      <c r="C18" s="10" t="n">
        <v>4</v>
      </c>
      <c r="D18" s="10" t="n">
        <v>12</v>
      </c>
      <c r="E18" s="10" t="n">
        <v>28</v>
      </c>
      <c r="F18" s="10" t="n">
        <v>45</v>
      </c>
      <c r="G18" s="10" t="n">
        <v>60</v>
      </c>
      <c r="H18" s="10" t="n">
        <v>75</v>
      </c>
      <c r="I18" s="11" t="n">
        <f aca="false">SUM(B18:H18)</f>
        <v>224</v>
      </c>
    </row>
    <row r="19" customFormat="false" ht="15" hidden="false" customHeight="false" outlineLevel="0" collapsed="false">
      <c r="A19" s="9" t="s">
        <v>22</v>
      </c>
      <c r="B19" s="12" t="n">
        <v>1850000</v>
      </c>
      <c r="C19" s="12" t="n">
        <v>1850000</v>
      </c>
      <c r="D19" s="12" t="n">
        <v>1850000</v>
      </c>
      <c r="E19" s="12" t="n">
        <v>1850000</v>
      </c>
      <c r="F19" s="12" t="n">
        <v>1850000</v>
      </c>
      <c r="G19" s="12" t="n">
        <v>1850000</v>
      </c>
      <c r="H19" s="12" t="n">
        <v>1850000</v>
      </c>
      <c r="I19" s="9" t="s">
        <v>23</v>
      </c>
    </row>
    <row r="20" customFormat="false" ht="15" hidden="false" customHeight="false" outlineLevel="0" collapsed="false">
      <c r="A20" s="9" t="s">
        <v>24</v>
      </c>
      <c r="B20" s="13" t="n">
        <f aca="false">B18*B19</f>
        <v>0</v>
      </c>
      <c r="C20" s="13" t="n">
        <f aca="false">C18*C19</f>
        <v>7400000</v>
      </c>
      <c r="D20" s="13" t="n">
        <f aca="false">D18*D19</f>
        <v>22200000</v>
      </c>
      <c r="E20" s="13" t="n">
        <f aca="false">E18*E19</f>
        <v>51800000</v>
      </c>
      <c r="F20" s="13" t="n">
        <f aca="false">F18*F19</f>
        <v>83250000</v>
      </c>
      <c r="G20" s="13" t="n">
        <f aca="false">G18*G19</f>
        <v>111000000</v>
      </c>
      <c r="H20" s="13" t="n">
        <f aca="false">H18*H19</f>
        <v>138750000</v>
      </c>
      <c r="I20" s="13" t="n">
        <f aca="false">SUM(B20:H20)</f>
        <v>414400000</v>
      </c>
    </row>
    <row r="21" customFormat="false" ht="15" hidden="false" customHeight="false" outlineLevel="0" collapsed="false">
      <c r="A21" s="9" t="s">
        <v>25</v>
      </c>
      <c r="B21" s="13" t="n">
        <f aca="false">B20</f>
        <v>0</v>
      </c>
      <c r="C21" s="13" t="n">
        <f aca="false">B21+C20</f>
        <v>7400000</v>
      </c>
      <c r="D21" s="13" t="n">
        <f aca="false">C21+D20</f>
        <v>29600000</v>
      </c>
      <c r="E21" s="13" t="n">
        <f aca="false">D21+E20</f>
        <v>81400000</v>
      </c>
      <c r="F21" s="13" t="n">
        <f aca="false">E21+F20</f>
        <v>164650000</v>
      </c>
      <c r="G21" s="13" t="n">
        <f aca="false">F21+G20</f>
        <v>275650000</v>
      </c>
      <c r="H21" s="13" t="n">
        <f aca="false">G21+H20</f>
        <v>414400000</v>
      </c>
      <c r="I21" s="9"/>
    </row>
    <row r="22" customFormat="false" ht="15" hidden="false" customHeight="false" outlineLevel="0" collapsed="false">
      <c r="A22" s="9" t="s">
        <v>26</v>
      </c>
      <c r="B22" s="13" t="n">
        <f aca="false">IF(B21*$B$8&gt;$B$10,B20*$B$9,B20*$B$8)</f>
        <v>0</v>
      </c>
      <c r="C22" s="13" t="n">
        <f aca="false">IF(C21*$B$8&gt;$B$10,C20*$B$9,C20*$B$8)</f>
        <v>333000</v>
      </c>
      <c r="D22" s="13" t="n">
        <f aca="false">IF(D21*$B$8&gt;$B$10,D20*$B$9,D20*$B$8)</f>
        <v>999000</v>
      </c>
      <c r="E22" s="13" t="n">
        <f aca="false">IF(E21*$B$8&gt;$B$10,E20*$B$9,E20*$B$8)</f>
        <v>2331000</v>
      </c>
      <c r="F22" s="13" t="n">
        <f aca="false">IF(F21*$B$8&gt;$B$10,F20*$B$9,F20*$B$8)</f>
        <v>3746250</v>
      </c>
      <c r="G22" s="13" t="n">
        <f aca="false">IF(G21*$B$8&gt;$B$10,G20*$B$9,G20*$B$8)</f>
        <v>3330000</v>
      </c>
      <c r="H22" s="13" t="n">
        <f aca="false">IF(H21*$B$8&gt;$B$10,H20*$B$9,H20*$B$8)</f>
        <v>4162500</v>
      </c>
      <c r="I22" s="13" t="n">
        <f aca="false">SUM(B22:H22)</f>
        <v>14901750</v>
      </c>
    </row>
    <row r="23" customFormat="false" ht="15" hidden="false" customHeight="false" outlineLevel="0" collapsed="false">
      <c r="A23" s="9" t="s">
        <v>27</v>
      </c>
      <c r="B23" s="13" t="n">
        <v>0</v>
      </c>
      <c r="C23" s="13" t="n">
        <v>0</v>
      </c>
      <c r="D23" s="13" t="n">
        <f aca="false">MAX(0,$B$11-D22)</f>
        <v>0</v>
      </c>
      <c r="E23" s="13" t="n">
        <f aca="false">MAX(0,$B$11-E22)</f>
        <v>0</v>
      </c>
      <c r="F23" s="13" t="n">
        <f aca="false">MAX(0,$B$11-F22)</f>
        <v>0</v>
      </c>
      <c r="G23" s="13" t="n">
        <f aca="false">MAX(0,$B$11-G22)</f>
        <v>0</v>
      </c>
      <c r="H23" s="13" t="n">
        <f aca="false">MAX(0,$B$11-H22)</f>
        <v>0</v>
      </c>
      <c r="I23" s="13" t="n">
        <f aca="false">SUM(B23:H23)</f>
        <v>0</v>
      </c>
    </row>
    <row r="24" customFormat="false" ht="15" hidden="false" customHeight="false" outlineLevel="0" collapsed="false">
      <c r="A24" s="9" t="s">
        <v>28</v>
      </c>
      <c r="B24" s="13" t="n">
        <v>0</v>
      </c>
      <c r="C24" s="13" t="n">
        <f aca="false">$B$12+$B$13</f>
        <v>3500000</v>
      </c>
      <c r="D24" s="13" t="n">
        <v>0</v>
      </c>
      <c r="E24" s="13" t="n">
        <v>0</v>
      </c>
      <c r="F24" s="13" t="n">
        <v>0</v>
      </c>
      <c r="G24" s="13" t="n">
        <v>0</v>
      </c>
      <c r="H24" s="13"/>
      <c r="I24" s="13" t="n">
        <f aca="false">SUM(B24:H24)</f>
        <v>3500000</v>
      </c>
    </row>
    <row r="25" customFormat="false" ht="15" hidden="false" customHeight="false" outlineLevel="0" collapsed="false">
      <c r="A25" s="9" t="s">
        <v>29</v>
      </c>
      <c r="B25" s="13" t="n">
        <f aca="false">$B$7</f>
        <v>4500000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f aca="false">SUM(B25:H25)</f>
        <v>4500000</v>
      </c>
    </row>
    <row r="26" customFormat="false" ht="15" hidden="false" customHeight="false" outlineLevel="0" collapsed="false">
      <c r="A26" s="9" t="s">
        <v>30</v>
      </c>
      <c r="B26" s="14" t="n">
        <f aca="false">B22+B23+B24+B25</f>
        <v>4500000</v>
      </c>
      <c r="C26" s="14" t="n">
        <f aca="false">C22+C23+C24+C25</f>
        <v>3833000</v>
      </c>
      <c r="D26" s="14" t="n">
        <f aca="false">D22+D23+D24+D25</f>
        <v>999000</v>
      </c>
      <c r="E26" s="14" t="n">
        <f aca="false">E22+E23+E24+E25</f>
        <v>2331000</v>
      </c>
      <c r="F26" s="14" t="n">
        <f aca="false">F22+F23+F24+F25</f>
        <v>3746250</v>
      </c>
      <c r="G26" s="14" t="n">
        <f aca="false">G22+G23+G24+G25</f>
        <v>3330000</v>
      </c>
      <c r="H26" s="14" t="n">
        <f aca="false">H22+H23+H24+H25</f>
        <v>4162500</v>
      </c>
      <c r="I26" s="14" t="n">
        <f aca="false">SUM(B26:H26)</f>
        <v>22901750</v>
      </c>
    </row>
    <row r="28" customFormat="false" ht="15" hidden="false" customHeight="false" outlineLevel="0" collapsed="false">
      <c r="A28" s="1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2026-06-29T19:35:30Z</dcterms:created>
  <dc:creator>openpyxl</dc:creator>
  <dc:description/>
  <dc:language>en-US</dc:language>
  <cp:lastModifiedBy/>
  <dcterms:modified xsi:type="dcterms:W3CDTF">2026-06-29T19:35:30Z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