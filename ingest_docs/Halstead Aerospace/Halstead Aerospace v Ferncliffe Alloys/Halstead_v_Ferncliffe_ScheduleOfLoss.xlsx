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<sst xmlns="http://schemas.openxmlformats.org/spreadsheetml/2006/main" count="67" uniqueCount="57">
  <si>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t xml:space="preserve">HALSTEAD AEROSPACE LIMITED v FERNCLIFFE ALLOYS LIMITED</t>
  </si>
  <si>
    <t xml:space="preserve">Claim No. HT-2025-000612 — Schedule of Loss and Damage (Annexed to Particulars of Claim)</t>
  </si>
  <si>
    <t xml:space="preserve">Technology and Construction Court, Business and Property Courts of England and Wales — Prepared 11 March 2025</t>
  </si>
  <si>
    <t xml:space="preserve">KEY QUANTITIES &amp; RATES (inputs)</t>
  </si>
  <si>
    <t xml:space="preserve">Non-conforming bar delivered (Heats FA-7733 &amp; FA-7741)</t>
  </si>
  <si>
    <t xml:space="preserve">kg</t>
  </si>
  <si>
    <t xml:space="preserve">Contract price of bar (per kg)</t>
  </si>
  <si>
    <t xml:space="preserve">£/kg</t>
  </si>
  <si>
    <t xml:space="preserve">Finished wing-rib fittings scrapped (CM-7 programme)</t>
  </si>
  <si>
    <t xml:space="preserve">units</t>
  </si>
  <si>
    <t xml:space="preserve">Machining / conversion value added per scrapped fitting (excl. raw material)</t>
  </si>
  <si>
    <t xml:space="preserve">£/unit</t>
  </si>
  <si>
    <t xml:space="preserve">Expedited replacement bar premium over contract price</t>
  </si>
  <si>
    <t xml:space="preserve">Replacement bar required (incl. test coupons &amp; yield loss)</t>
  </si>
  <si>
    <t xml:space="preserve">Line-stop / under-recovery of fixed overhead (days)</t>
  </si>
  <si>
    <t xml:space="preserve">days</t>
  </si>
  <si>
    <t xml:space="preserve">Line-stop day rate (Bay 4, CM-7 cell)</t>
  </si>
  <si>
    <t xml:space="preserve">£/day</t>
  </si>
  <si>
    <t xml:space="preserve">No.</t>
  </si>
  <si>
    <t xml:space="preserve">Head of loss</t>
  </si>
  <si>
    <t xml:space="preserve">Qty</t>
  </si>
  <si>
    <t xml:space="preserve">Unit</t>
  </si>
  <si>
    <t xml:space="preserve">Rate (£)</t>
  </si>
  <si>
    <t xml:space="preserve">Amount (£)</t>
  </si>
  <si>
    <t xml:space="preserve">Basis / cross-reference</t>
  </si>
  <si>
    <t xml:space="preserve">1</t>
  </si>
  <si>
    <t xml:space="preserve">Scrapped wing-rib fittings — machining / conversion value</t>
  </si>
  <si>
    <t xml:space="preserve">312 fittings; conversion value added only (raw bar at head 2); QN-2024-0337</t>
  </si>
  <si>
    <t xml:space="preserve">2</t>
  </si>
  <si>
    <t xml:space="preserve">Scrapped non-conforming raw bar (Heats FA-7733/FA-7741)</t>
  </si>
  <si>
    <t xml:space="preserve">Bar rejected on incoming + in-process test; AMS 4928 fail</t>
  </si>
  <si>
    <t xml:space="preserve">3</t>
  </si>
  <si>
    <t xml:space="preserve">Expedited replacement bar — price premium</t>
  </si>
  <si>
    <t xml:space="preserve">Northvale Metals spot order; premium over Ferncliffe price</t>
  </si>
  <si>
    <t xml:space="preserve">4</t>
  </si>
  <si>
    <t xml:space="preserve">Line-stop / fixed-overhead under-recovery (Bay 4)</t>
  </si>
  <si>
    <t xml:space="preserve">14 working days; Ops log; CM-7 cell idle</t>
  </si>
  <si>
    <t xml:space="preserve">5</t>
  </si>
  <si>
    <t xml:space="preserve">Liquidated damages exposure — late CM-7 shipset deliveries to Caldera</t>
  </si>
  <si>
    <t xml:space="preserve">lump</t>
  </si>
  <si>
    <t xml:space="preserve">Caldera MSA LDs at 0.5%/wk; 3 shipsets slipped</t>
  </si>
  <si>
    <t xml:space="preserve">6</t>
  </si>
  <si>
    <t xml:space="preserve">Additional metallurgical testing &amp; failure investigation</t>
  </si>
  <si>
    <t xml:space="preserve">Argent Metallurgical Services invoices A-1180/1206/1241</t>
  </si>
  <si>
    <t xml:space="preserve">7</t>
  </si>
  <si>
    <t xml:space="preserve">Re-inspection &amp; 100% lot screening of remaining stock</t>
  </si>
  <si>
    <t xml:space="preserve">NDT + chemical re-test of 11 retained heats</t>
  </si>
  <si>
    <t xml:space="preserve">8</t>
  </si>
  <si>
    <t xml:space="preserve">Internal management &amp; engineering time (CARB / RCCA)</t>
  </si>
  <si>
    <t xml:space="preserve">Time records; 412 hours @ blended £89.32</t>
  </si>
  <si>
    <t xml:space="preserve">9</t>
  </si>
  <si>
    <t xml:space="preserve">Expedited inbound freight &amp; customs (replacement bar)</t>
  </si>
  <si>
    <t xml:space="preserve">Air freight DAP Bristol; broker invoices</t>
  </si>
  <si>
    <t xml:space="preserve">Sub-total — direct losses</t>
  </si>
  <si>
    <t xml:space="preserve">Interest to date (s.35A Senior Courts Act 1981 — 4.0% from 30 Sep 2024)</t>
  </si>
  <si>
    <t xml:space="preserve">TOTAL CLAIMED (excluding costs)</t>
  </si>
  <si>
    <t xml:space="preserve">Note: Head 1 captures only the machining/conversion value added to the scrapped fittings; the raw-material cost of the bar consumed in them is claimed separately at head 2, so there is no double recovery. Figures exclude VAT (recoverable) and legal costs (to be assessed).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</si>
</sst>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\£#,##0.00;&quot;(£&quot;#,##0.00\)"/>
    <numFmt numFmtId="168" formatCode="\£#,##0;&quot;(£&quot;#,##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  <c r="C6" s="6" t="n">
        <v>4280</v>
      </c>
      <c r="D6" s="7" t="s">
        <v>5</v>
      </c>
    </row>
    <row r="7" customFormat="false" ht="15" hidden="false" customHeight="false" outlineLevel="0" collapsed="false">
      <c r="B7" s="5" t="s">
        <v>6</v>
      </c>
      <c r="C7" s="8" t="n">
        <v>96.5</v>
      </c>
      <c r="D7" s="7" t="s">
        <v>7</v>
      </c>
    </row>
    <row r="8" customFormat="false" ht="15" hidden="false" customHeight="false" outlineLevel="0" collapsed="false">
      <c r="B8" s="5" t="s">
        <v>8</v>
      </c>
      <c r="C8" s="6" t="n">
        <v>312</v>
      </c>
      <c r="D8" s="7" t="s">
        <v>9</v>
      </c>
    </row>
    <row r="9" customFormat="false" ht="23.85" hidden="false" customHeight="false" outlineLevel="0" collapsed="false">
      <c r="B9" s="5" t="s">
        <v>10</v>
      </c>
      <c r="C9" s="6" t="n">
        <v>4570</v>
      </c>
      <c r="D9" s="7" t="s">
        <v>11</v>
      </c>
    </row>
    <row r="10" customFormat="false" ht="15" hidden="false" customHeight="false" outlineLevel="0" collapsed="false">
      <c r="B10" s="5" t="s">
        <v>12</v>
      </c>
      <c r="C10" s="8" t="n">
        <v>38</v>
      </c>
      <c r="D10" s="7" t="s">
        <v>7</v>
      </c>
    </row>
    <row r="11" customFormat="false" ht="15" hidden="false" customHeight="false" outlineLevel="0" collapsed="false">
      <c r="B11" s="5" t="s">
        <v>13</v>
      </c>
      <c r="C11" s="6" t="n">
        <v>4690</v>
      </c>
      <c r="D11" s="7" t="s">
        <v>5</v>
      </c>
    </row>
    <row r="12" customFormat="false" ht="15" hidden="false" customHeight="false" outlineLevel="0" collapsed="false">
      <c r="B12" s="5" t="s">
        <v>14</v>
      </c>
      <c r="C12" s="6" t="n">
        <v>14</v>
      </c>
      <c r="D12" s="7" t="s">
        <v>15</v>
      </c>
    </row>
    <row r="13" customFormat="false" ht="15" hidden="false" customHeight="false" outlineLevel="0" collapsed="false">
      <c r="B13" s="5" t="s">
        <v>16</v>
      </c>
      <c r="C13" s="6" t="n">
        <v>21500</v>
      </c>
      <c r="D13" s="7" t="s">
        <v>17</v>
      </c>
    </row>
    <row r="15" customFormat="false" ht="15" hidden="false" customHeight="false" outlineLevel="0" collapsed="false">
      <c r="A15" s="9" t="s">
        <v>18</v>
      </c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  <c r="G15" s="9" t="s">
        <v>24</v>
      </c>
    </row>
    <row r="16" customFormat="false" ht="23.85" hidden="false" customHeight="false" outlineLevel="0" collapsed="false">
      <c r="A16" s="7" t="s">
        <v>25</v>
      </c>
      <c r="B16" s="5" t="s">
        <v>26</v>
      </c>
      <c r="C16" s="10" t="n">
        <f aca="false">C8</f>
        <v>312</v>
      </c>
      <c r="D16" s="7" t="s">
        <v>9</v>
      </c>
      <c r="E16" s="11" t="n">
        <f aca="false">C9</f>
        <v>4570</v>
      </c>
      <c r="F16" s="12" t="n">
        <f aca="false">C16*E16</f>
        <v>1425840</v>
      </c>
      <c r="G16" s="5" t="s">
        <v>27</v>
      </c>
    </row>
    <row r="17" customFormat="false" ht="23.85" hidden="false" customHeight="false" outlineLevel="0" collapsed="false">
      <c r="A17" s="7" t="s">
        <v>28</v>
      </c>
      <c r="B17" s="5" t="s">
        <v>29</v>
      </c>
      <c r="C17" s="10" t="n">
        <f aca="false">C6</f>
        <v>4280</v>
      </c>
      <c r="D17" s="7" t="s">
        <v>5</v>
      </c>
      <c r="E17" s="11" t="n">
        <f aca="false">C7</f>
        <v>96.5</v>
      </c>
      <c r="F17" s="12" t="n">
        <f aca="false">C17*E17</f>
        <v>413020</v>
      </c>
      <c r="G17" s="5" t="s">
        <v>30</v>
      </c>
    </row>
    <row r="18" customFormat="false" ht="23.85" hidden="false" customHeight="false" outlineLevel="0" collapsed="false">
      <c r="A18" s="7" t="s">
        <v>31</v>
      </c>
      <c r="B18" s="5" t="s">
        <v>32</v>
      </c>
      <c r="C18" s="10" t="n">
        <f aca="false">C11</f>
        <v>4690</v>
      </c>
      <c r="D18" s="7" t="s">
        <v>5</v>
      </c>
      <c r="E18" s="11" t="n">
        <f aca="false">C10</f>
        <v>38</v>
      </c>
      <c r="F18" s="12" t="n">
        <f aca="false">C18*E18</f>
        <v>178220</v>
      </c>
      <c r="G18" s="5" t="s">
        <v>33</v>
      </c>
    </row>
    <row r="19" customFormat="false" ht="15" hidden="false" customHeight="false" outlineLevel="0" collapsed="false">
      <c r="A19" s="7" t="s">
        <v>34</v>
      </c>
      <c r="B19" s="5" t="s">
        <v>35</v>
      </c>
      <c r="C19" s="10" t="n">
        <f aca="false">C12</f>
        <v>14</v>
      </c>
      <c r="D19" s="7" t="s">
        <v>15</v>
      </c>
      <c r="E19" s="11" t="n">
        <f aca="false">C13</f>
        <v>21500</v>
      </c>
      <c r="F19" s="12" t="n">
        <f aca="false">C19*E19</f>
        <v>301000</v>
      </c>
      <c r="G19" s="5" t="s">
        <v>36</v>
      </c>
    </row>
    <row r="20" customFormat="false" ht="23.85" hidden="false" customHeight="false" outlineLevel="0" collapsed="false">
      <c r="A20" s="7" t="s">
        <v>37</v>
      </c>
      <c r="B20" s="5" t="s">
        <v>38</v>
      </c>
      <c r="C20" s="10" t="n">
        <v>1</v>
      </c>
      <c r="D20" s="7" t="s">
        <v>39</v>
      </c>
      <c r="E20" s="11" t="n">
        <v>412000</v>
      </c>
      <c r="F20" s="12" t="n">
        <f aca="false">C20*E20</f>
        <v>412000</v>
      </c>
      <c r="G20" s="5" t="s">
        <v>40</v>
      </c>
    </row>
    <row r="21" customFormat="false" ht="23.85" hidden="false" customHeight="false" outlineLevel="0" collapsed="false">
      <c r="A21" s="7" t="s">
        <v>41</v>
      </c>
      <c r="B21" s="5" t="s">
        <v>42</v>
      </c>
      <c r="C21" s="10" t="n">
        <v>1</v>
      </c>
      <c r="D21" s="7" t="s">
        <v>39</v>
      </c>
      <c r="E21" s="11" t="n">
        <v>84600</v>
      </c>
      <c r="F21" s="12" t="n">
        <f aca="false">C21*E21</f>
        <v>84600</v>
      </c>
      <c r="G21" s="5" t="s">
        <v>43</v>
      </c>
    </row>
    <row r="22" customFormat="false" ht="23.85" hidden="false" customHeight="false" outlineLevel="0" collapsed="false">
      <c r="A22" s="7" t="s">
        <v>44</v>
      </c>
      <c r="B22" s="5" t="s">
        <v>45</v>
      </c>
      <c r="C22" s="10" t="n">
        <v>1</v>
      </c>
      <c r="D22" s="7" t="s">
        <v>39</v>
      </c>
      <c r="E22" s="11" t="n">
        <v>47350</v>
      </c>
      <c r="F22" s="12" t="n">
        <f aca="false">C22*E22</f>
        <v>47350</v>
      </c>
      <c r="G22" s="5" t="s">
        <v>46</v>
      </c>
    </row>
    <row r="23" customFormat="false" ht="23.85" hidden="false" customHeight="false" outlineLevel="0" collapsed="false">
      <c r="A23" s="7" t="s">
        <v>47</v>
      </c>
      <c r="B23" s="5" t="s">
        <v>48</v>
      </c>
      <c r="C23" s="10" t="n">
        <v>1</v>
      </c>
      <c r="D23" s="7" t="s">
        <v>39</v>
      </c>
      <c r="E23" s="11" t="n">
        <v>36800</v>
      </c>
      <c r="F23" s="12" t="n">
        <f aca="false">C23*E23</f>
        <v>36800</v>
      </c>
      <c r="G23" s="5" t="s">
        <v>49</v>
      </c>
    </row>
    <row r="24" customFormat="false" ht="15" hidden="false" customHeight="false" outlineLevel="0" collapsed="false">
      <c r="A24" s="7" t="s">
        <v>50</v>
      </c>
      <c r="B24" s="5" t="s">
        <v>51</v>
      </c>
      <c r="C24" s="10" t="n">
        <v>1</v>
      </c>
      <c r="D24" s="7" t="s">
        <v>39</v>
      </c>
      <c r="E24" s="11" t="n">
        <v>18240</v>
      </c>
      <c r="F24" s="12" t="n">
        <f aca="false">C24*E24</f>
        <v>18240</v>
      </c>
      <c r="G24" s="5" t="s">
        <v>52</v>
      </c>
    </row>
    <row r="25" customFormat="false" ht="15" hidden="false" customHeight="false" outlineLevel="0" collapsed="false">
      <c r="A25" s="13"/>
      <c r="B25" s="14" t="s">
        <v>53</v>
      </c>
      <c r="C25" s="13"/>
      <c r="D25" s="13"/>
      <c r="E25" s="13"/>
      <c r="F25" s="15" t="n">
        <f aca="false">SUM(F16:F24)</f>
        <v>2917070</v>
      </c>
      <c r="G25" s="13"/>
    </row>
    <row r="26" customFormat="false" ht="23.85" hidden="false" customHeight="false" outlineLevel="0" collapsed="false">
      <c r="A26" s="16"/>
      <c r="B26" s="5" t="s">
        <v>54</v>
      </c>
      <c r="C26" s="16"/>
      <c r="D26" s="16"/>
      <c r="E26" s="16"/>
      <c r="F26" s="12" t="n">
        <f aca="false">ROUND(F25*0.04*(165/365),0)</f>
        <v>52747</v>
      </c>
      <c r="G26" s="16"/>
    </row>
    <row r="27" customFormat="false" ht="15" hidden="false" customHeight="false" outlineLevel="0" collapsed="false">
      <c r="A27" s="17"/>
      <c r="B27" s="18" t="s">
        <v>55</v>
      </c>
      <c r="C27" s="17"/>
      <c r="D27" s="17"/>
      <c r="E27" s="17"/>
      <c r="F27" s="19" t="n">
        <f aca="false">F25+F26</f>
        <v>2969817</v>
      </c>
      <c r="G27" s="17"/>
    </row>
    <row r="29" customFormat="false" ht="30" hidden="false" customHeight="true" outlineLevel="0" collapsed="false">
      <c r="B29" s="20" t="s">
        <v>56</v>
      </c>
      <c r="C29" s="20"/>
      <c r="D29" s="20"/>
      <c r="E29" s="20"/>
      <c r="F29" s="20"/>
      <c r="G29" s="20"/>
    </row>
  </sheetData>
  <mergeCells count="4">
    <mergeCell ref="A1:G1"/>
    <mergeCell ref="A2:G2"/>
    <mergeCell ref="A3:G3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2026-06-27T13:15:49Z</dcterms:created>
  <dc:creator>openpyxl</dc:creator>
  <dc:description/>
  <dc:language>en-US</dc:language>
  <cp:lastModifiedBy/>
  <dcterms:modified xsi:type="dcterms:W3CDTF">2026-06-27T13:15:49Z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