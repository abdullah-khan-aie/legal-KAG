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VolumePricing" sheetId="2" state="visible" r:id="rId2"/>
    <sheet xmlns:r="http://schemas.openxmlformats.org/officeDocument/2006/relationships" name="ContractValue" sheetId="3" state="visible" r:id="rId3"/>
    <sheet xmlns:r="http://schemas.openxmlformats.org/officeDocument/2006/relationships" name="NRE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color rgb="00808080"/>
      <sz val="9"/>
    </font>
    <font>
      <b val="1"/>
    </font>
    <font>
      <color rgb="00999999"/>
      <sz val="8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4" borderId="1" pivotButton="0" quotePrefix="0" xfId="0"/>
    <xf numFmtId="166" fontId="0" fillId="0" borderId="1" pivotButton="0" quotePrefix="0" xfId="0"/>
    <xf numFmtId="0" fontId="4" fillId="2" borderId="1" pivotButton="0" quotePrefix="0" xfId="0"/>
    <xf numFmtId="0" fontId="4" fillId="0" borderId="1" pivotButton="0" quotePrefix="0" xfId="0"/>
    <xf numFmtId="164" fontId="4" fillId="2" borderId="1" pivotButton="0" quotePrefix="0" xfId="0"/>
    <xf numFmtId="0" fontId="4" fillId="0" borderId="0" pivotButton="0" quotePrefix="0" xfId="0"/>
    <xf numFmtId="0" fontId="0" fillId="2" borderId="1" pivotButton="0" quotePrefix="0" xfId="0"/>
    <xf numFmtId="165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Project Cedar — Pricing &amp; Contract Value Model</t>
        </is>
      </c>
    </row>
    <row r="2">
      <c r="A2" s="2" t="inlineStr">
        <is>
          <t>Halstead Aerospace Limited / Caldera Mobility Systems plc — CM-7 composite airframe supply</t>
        </is>
      </c>
    </row>
    <row r="3">
      <c r="A3" s="3" t="inlineStr">
        <is>
          <t>Prepared by Whitfield Carter LLP (WC-00131) — figures exclusive of VAT</t>
        </is>
      </c>
    </row>
    <row r="5">
      <c r="A5" s="4" t="inlineStr">
        <is>
          <t>Key commercial assumptions</t>
        </is>
      </c>
      <c r="B5" s="5" t="n"/>
    </row>
    <row r="6">
      <c r="A6" t="inlineStr">
        <is>
          <t>Year-1 list unit price per shipset</t>
        </is>
      </c>
      <c r="B6" s="6" t="n">
        <v>148500</v>
      </c>
    </row>
    <row r="7">
      <c r="A7" t="inlineStr">
        <is>
          <t>Non-recurring engineering &amp; tooling (NRE)</t>
        </is>
      </c>
      <c r="B7" s="6" t="n">
        <v>2400000</v>
      </c>
    </row>
    <row r="8">
      <c r="A8" t="inlineStr">
        <is>
          <t>Year-1 minimum commitment (shipsets)</t>
        </is>
      </c>
      <c r="B8" s="7" t="n">
        <v>60</v>
      </c>
    </row>
    <row r="9">
      <c r="A9" t="inlineStr">
        <is>
          <t>Volume discount — tier 2 (41–80 / yr)</t>
        </is>
      </c>
      <c r="B9" s="8" t="n">
        <v>0.05</v>
      </c>
    </row>
    <row r="10">
      <c r="A10" t="inlineStr">
        <is>
          <t>Volume discount — tier 3 (81–120 / yr)</t>
        </is>
      </c>
      <c r="B10" s="8" t="n">
        <v>0.1</v>
      </c>
    </row>
    <row r="11">
      <c r="A11" t="inlineStr">
        <is>
          <t>Volume discount — tier 4 (121+ / yr)</t>
        </is>
      </c>
      <c r="B11" s="8" t="n">
        <v>0.15</v>
      </c>
    </row>
    <row r="12">
      <c r="A12" t="inlineStr">
        <is>
          <t>Annual indexation factor (of PPI change)</t>
        </is>
      </c>
      <c r="B12" s="8" t="n">
        <v>0.7</v>
      </c>
    </row>
    <row r="13">
      <c r="A13" t="inlineStr">
        <is>
          <t>Assumed annual PPI change</t>
        </is>
      </c>
      <c r="B13" s="8" t="n">
        <v>0.03</v>
      </c>
    </row>
    <row r="14">
      <c r="A14" t="inlineStr">
        <is>
          <t>Indexation cap (±)</t>
        </is>
      </c>
      <c r="B14" s="8" t="n">
        <v>0.04</v>
      </c>
    </row>
    <row r="15">
      <c r="A15" t="inlineStr">
        <is>
          <t>Late-delivery LD rate (per week)</t>
        </is>
      </c>
      <c r="B15" s="8" t="n">
        <v>0.005</v>
      </c>
    </row>
    <row r="16">
      <c r="A16" t="inlineStr">
        <is>
          <t>Late-delivery LD cap</t>
        </is>
      </c>
      <c r="B16" s="8" t="n">
        <v>0.075</v>
      </c>
    </row>
    <row r="17">
      <c r="A17" t="inlineStr">
        <is>
          <t>Payment terms (days)</t>
        </is>
      </c>
      <c r="B17" s="7" t="n">
        <v>60</v>
      </c>
    </row>
    <row r="18">
      <c r="A18" t="inlineStr">
        <is>
          <t>Liability cap (% trailing 12m charges)</t>
        </is>
      </c>
      <c r="B18" s="8" t="n">
        <v>1.25</v>
      </c>
    </row>
    <row r="30">
      <c r="A30" s="9" t="inlineStr">
        <is>
          <t>Cells: B6=list price, B8=Yr1 min, B7=NRE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4" customWidth="1" min="4" max="4"/>
    <col width="34" customWidth="1" min="5" max="5"/>
  </cols>
  <sheetData>
    <row r="1">
      <c r="A1" s="1" t="inlineStr">
        <is>
          <t>Schedule 2 — Volume Pricing (Year 1)</t>
        </is>
      </c>
    </row>
    <row r="3">
      <c r="A3" s="10" t="inlineStr">
        <is>
          <t>Tier</t>
        </is>
      </c>
      <c r="B3" s="10" t="inlineStr">
        <is>
          <t>Annual volume (shipsets)</t>
        </is>
      </c>
      <c r="C3" s="10" t="inlineStr">
        <is>
          <t>Discount</t>
        </is>
      </c>
      <c r="D3" s="10" t="inlineStr">
        <is>
          <t>Unit price per shipset</t>
        </is>
      </c>
      <c r="E3" s="10" t="inlineStr">
        <is>
          <t>Notes</t>
        </is>
      </c>
    </row>
    <row r="4">
      <c r="A4" s="11" t="inlineStr">
        <is>
          <t>Tier 1</t>
        </is>
      </c>
      <c r="B4" s="11" t="inlineStr">
        <is>
          <t>1 – 40</t>
        </is>
      </c>
      <c r="C4" s="12" t="n">
        <v>0</v>
      </c>
      <c r="D4" s="13">
        <f>Assumptions!$B$6*(1-C4)</f>
        <v/>
      </c>
      <c r="E4" s="11" t="inlineStr">
        <is>
          <t>Standard list</t>
        </is>
      </c>
    </row>
    <row r="5">
      <c r="A5" s="14" t="inlineStr">
        <is>
          <t>Tier 2</t>
        </is>
      </c>
      <c r="B5" s="14" t="inlineStr">
        <is>
          <t>41 – 80</t>
        </is>
      </c>
      <c r="C5" s="15" t="n">
        <v>0.05</v>
      </c>
      <c r="D5" s="16">
        <f>Assumptions!$B$6*(1-C5)</f>
        <v/>
      </c>
      <c r="E5" s="14" t="inlineStr">
        <is>
          <t>Applies to Yr-1 commitment of 60</t>
        </is>
      </c>
    </row>
    <row r="6">
      <c r="A6" s="11" t="inlineStr">
        <is>
          <t>Tier 3</t>
        </is>
      </c>
      <c r="B6" s="11" t="inlineStr">
        <is>
          <t>81 – 120</t>
        </is>
      </c>
      <c r="C6" s="12" t="n">
        <v>0.1</v>
      </c>
      <c r="D6" s="13">
        <f>Assumptions!$B$6*(1-C6)</f>
        <v/>
      </c>
      <c r="E6" s="11" t="inlineStr">
        <is>
          <t>Series ramp</t>
        </is>
      </c>
    </row>
    <row r="7">
      <c r="A7" s="14" t="inlineStr">
        <is>
          <t>Tier 4</t>
        </is>
      </c>
      <c r="B7" s="14" t="inlineStr">
        <is>
          <t>121+</t>
        </is>
      </c>
      <c r="C7" s="15" t="n">
        <v>0.15</v>
      </c>
      <c r="D7" s="16">
        <f>Assumptions!$B$6*(1-C7)</f>
        <v/>
      </c>
      <c r="E7" s="14" t="inlineStr">
        <is>
          <t>Mature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</cols>
  <sheetData>
    <row r="1">
      <c r="A1" s="1" t="inlineStr">
        <is>
          <t>Five-Year Contract Value (illustrative ramp)</t>
        </is>
      </c>
    </row>
    <row r="3">
      <c r="A3" s="10" t="inlineStr">
        <is>
          <t>Contract year</t>
        </is>
      </c>
      <c r="B3" s="10" t="inlineStr">
        <is>
          <t>Shipsets</t>
        </is>
      </c>
      <c r="C3" s="10" t="inlineStr">
        <is>
          <t>Applicable tier discount</t>
        </is>
      </c>
      <c r="D3" s="10" t="inlineStr">
        <is>
          <t>Indexation uplift</t>
        </is>
      </c>
      <c r="E3" s="10" t="inlineStr">
        <is>
          <t>Effective unit price</t>
        </is>
      </c>
      <c r="F3" s="10" t="inlineStr">
        <is>
          <t>Product revenue</t>
        </is>
      </c>
      <c r="G3" s="10" t="inlineStr">
        <is>
          <t>NRE / tooling</t>
        </is>
      </c>
      <c r="H3" s="10" t="inlineStr">
        <is>
          <t>Total year value</t>
        </is>
      </c>
    </row>
    <row r="4">
      <c r="A4" s="11" t="inlineStr">
        <is>
          <t>Year 1</t>
        </is>
      </c>
      <c r="B4" s="11" t="n">
        <v>60</v>
      </c>
      <c r="C4" s="12" t="n">
        <v>0.05</v>
      </c>
      <c r="D4" s="17">
        <f>(1+MIN(Assumptions!$B$13,Assumptions!$B$11*Assumptions!$B$12))^0</f>
        <v/>
      </c>
      <c r="E4" s="13">
        <f>Assumptions!$B$6*(1-C4)*D4</f>
        <v/>
      </c>
      <c r="F4" s="13">
        <f>B4*E4</f>
        <v/>
      </c>
      <c r="G4" s="13">
        <f>Assumptions!$B$7</f>
        <v/>
      </c>
      <c r="H4" s="13">
        <f>F4+G4</f>
        <v/>
      </c>
    </row>
    <row r="5">
      <c r="A5" s="14" t="inlineStr">
        <is>
          <t>Year 2</t>
        </is>
      </c>
      <c r="B5" s="14" t="n">
        <v>84</v>
      </c>
      <c r="C5" s="15" t="n">
        <v>0.1</v>
      </c>
      <c r="D5" s="18">
        <f>(1+MIN(Assumptions!$B$13,Assumptions!$B$11*Assumptions!$B$12))^1</f>
        <v/>
      </c>
      <c r="E5" s="16">
        <f>Assumptions!$B$6*(1-C5)*D5</f>
        <v/>
      </c>
      <c r="F5" s="16">
        <f>B5*E5</f>
        <v/>
      </c>
      <c r="G5" s="16" t="n">
        <v>0</v>
      </c>
      <c r="H5" s="16">
        <f>F5+G5</f>
        <v/>
      </c>
    </row>
    <row r="6">
      <c r="A6" s="11" t="inlineStr">
        <is>
          <t>Year 3</t>
        </is>
      </c>
      <c r="B6" s="11" t="n">
        <v>108</v>
      </c>
      <c r="C6" s="12" t="n">
        <v>0.1</v>
      </c>
      <c r="D6" s="17">
        <f>(1+MIN(Assumptions!$B$13,Assumptions!$B$11*Assumptions!$B$12))^2</f>
        <v/>
      </c>
      <c r="E6" s="13">
        <f>Assumptions!$B$6*(1-C6)*D6</f>
        <v/>
      </c>
      <c r="F6" s="13">
        <f>B6*E6</f>
        <v/>
      </c>
      <c r="G6" s="13" t="n">
        <v>0</v>
      </c>
      <c r="H6" s="13">
        <f>F6+G6</f>
        <v/>
      </c>
    </row>
    <row r="7">
      <c r="A7" s="14" t="inlineStr">
        <is>
          <t>Year 4</t>
        </is>
      </c>
      <c r="B7" s="14" t="n">
        <v>132</v>
      </c>
      <c r="C7" s="15" t="n">
        <v>0.15</v>
      </c>
      <c r="D7" s="18">
        <f>(1+MIN(Assumptions!$B$13,Assumptions!$B$11*Assumptions!$B$12))^3</f>
        <v/>
      </c>
      <c r="E7" s="16">
        <f>Assumptions!$B$6*(1-C7)*D7</f>
        <v/>
      </c>
      <c r="F7" s="16">
        <f>B7*E7</f>
        <v/>
      </c>
      <c r="G7" s="16" t="n">
        <v>0</v>
      </c>
      <c r="H7" s="16">
        <f>F7+G7</f>
        <v/>
      </c>
    </row>
    <row r="8">
      <c r="A8" s="11" t="inlineStr">
        <is>
          <t>Year 5</t>
        </is>
      </c>
      <c r="B8" s="11" t="n">
        <v>156</v>
      </c>
      <c r="C8" s="12" t="n">
        <v>0.15</v>
      </c>
      <c r="D8" s="17">
        <f>(1+MIN(Assumptions!$B$13,Assumptions!$B$11*Assumptions!$B$12))^4</f>
        <v/>
      </c>
      <c r="E8" s="13">
        <f>Assumptions!$B$6*(1-C8)*D8</f>
        <v/>
      </c>
      <c r="F8" s="13">
        <f>B8*E8</f>
        <v/>
      </c>
      <c r="G8" s="13" t="n">
        <v>0</v>
      </c>
      <c r="H8" s="13">
        <f>F8+G8</f>
        <v/>
      </c>
    </row>
    <row r="9">
      <c r="A9" s="19" t="inlineStr">
        <is>
          <t>TOTAL</t>
        </is>
      </c>
      <c r="B9" s="20">
        <f>SUM(B4:B8)</f>
        <v/>
      </c>
      <c r="C9" s="14" t="n"/>
      <c r="D9" s="14" t="n"/>
      <c r="E9" s="14" t="n"/>
      <c r="F9" s="21">
        <f>SUM(F4:F8)</f>
        <v/>
      </c>
      <c r="G9" s="21">
        <f>SUM(G4:G8)</f>
        <v/>
      </c>
      <c r="H9" s="21">
        <f>SUM(H4:H8)</f>
        <v/>
      </c>
    </row>
    <row r="11">
      <c r="A11" s="22" t="inlineStr">
        <is>
          <t>Year-1 gross list value (60 shipsets @ list £148,500):</t>
        </is>
      </c>
      <c r="F11" s="6">
        <f>Assumptions!$B$8*Assumptions!$B$6</f>
        <v/>
      </c>
    </row>
    <row r="12">
      <c r="A12" s="22" t="inlineStr">
        <is>
          <t>Year-1 product revenue (60 shipsets @ tier-2 discount):</t>
        </is>
      </c>
      <c r="F12" s="6">
        <f>F4</f>
        <v/>
      </c>
    </row>
    <row r="13">
      <c r="A13" s="22" t="inlineStr">
        <is>
          <t>Total Year-1 value incl. NRE:</t>
        </is>
      </c>
      <c r="F13" s="6">
        <f>H4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NRE / Tooling Milestone Payment Schedule</t>
        </is>
      </c>
    </row>
    <row r="3">
      <c r="A3" s="10" t="inlineStr">
        <is>
          <t>Milestone</t>
        </is>
      </c>
      <c r="B3" s="10" t="inlineStr">
        <is>
          <t>Trigger</t>
        </is>
      </c>
      <c r="C3" s="10" t="inlineStr">
        <is>
          <t>Target date</t>
        </is>
      </c>
      <c r="D3" s="10" t="inlineStr">
        <is>
          <t>% of NRE</t>
        </is>
      </c>
      <c r="E3" s="10" t="inlineStr">
        <is>
          <t>Amount (£)</t>
        </is>
      </c>
    </row>
    <row r="4">
      <c r="A4" s="11" t="inlineStr">
        <is>
          <t>M1</t>
        </is>
      </c>
      <c r="B4" s="11" t="inlineStr">
        <is>
          <t>Signature of MSA</t>
        </is>
      </c>
      <c r="C4" s="11" t="inlineStr">
        <is>
          <t>05-Dec-2025</t>
        </is>
      </c>
      <c r="D4" s="12" t="n">
        <v>0.4</v>
      </c>
      <c r="E4" s="13">
        <f>Assumptions!$B$7*D4</f>
        <v/>
      </c>
    </row>
    <row r="5">
      <c r="A5" s="14" t="inlineStr">
        <is>
          <t>M3</t>
        </is>
      </c>
      <c r="B5" s="14" t="inlineStr">
        <is>
          <t>First-article inspection accepted</t>
        </is>
      </c>
      <c r="C5" s="14" t="inlineStr">
        <is>
          <t>15-May-2026</t>
        </is>
      </c>
      <c r="D5" s="15" t="n">
        <v>0.3</v>
      </c>
      <c r="E5" s="16">
        <f>Assumptions!$B$7*D5</f>
        <v/>
      </c>
    </row>
    <row r="6">
      <c r="A6" s="11" t="inlineStr">
        <is>
          <t>M4</t>
        </is>
      </c>
      <c r="B6" s="11" t="inlineStr">
        <is>
          <t>Tooling qualification complete</t>
        </is>
      </c>
      <c r="C6" s="11" t="inlineStr">
        <is>
          <t>30-Jun-2026</t>
        </is>
      </c>
      <c r="D6" s="12" t="n">
        <v>0.3</v>
      </c>
      <c r="E6" s="13">
        <f>Assumptions!$B$7*D6</f>
        <v/>
      </c>
    </row>
    <row r="7">
      <c r="A7" s="19" t="inlineStr">
        <is>
          <t>TOTAL</t>
        </is>
      </c>
      <c r="B7" s="23" t="n"/>
      <c r="C7" s="23" t="n"/>
      <c r="D7" s="24">
        <f>SUM(D4:D6)</f>
        <v/>
      </c>
      <c r="E7" s="21">
        <f>SUM(E4:E6)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2026-06-25T23:24:54Z</dcterms:created>
  <dcterms:modified xmlns:dcterms="http://purl.org/dc/terms/" xmlns:xsi="http://www.w3.org/2001/XMLSchema-instance" xsi:type="dcterms:W3CDTF">2026-06-25T23:24:54Z</dcterms:modified>
</cp:coreProperties>
</file>