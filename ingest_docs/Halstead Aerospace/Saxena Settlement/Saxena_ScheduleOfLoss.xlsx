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of 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"/>
    <numFmt numFmtId="165" formatCode="£#,##0.00;[Red]-£#,##0.00"/>
  </numFmts>
  <fonts count="8">
    <font>
      <name val="Calibri"/>
      <family val="2"/>
      <color theme="1"/>
      <sz val="11"/>
      <scheme val="minor"/>
    </font>
    <font>
      <b val="1"/>
      <color rgb="001F3355"/>
      <sz val="14"/>
    </font>
    <font>
      <i val="1"/>
      <sz val="10"/>
    </font>
    <font>
      <color rgb="00555555"/>
      <sz val="9"/>
    </font>
    <font>
      <b val="1"/>
    </font>
    <font>
      <b val="1"/>
      <color rgb="00FFFFFF"/>
      <sz val="11"/>
    </font>
    <font>
      <b val="1"/>
      <color rgb="001F3355"/>
      <sz val="12"/>
    </font>
    <font>
      <i val="1"/>
      <color rgb="00777777"/>
      <sz val="8"/>
    </font>
  </fonts>
  <fills count="4">
    <fill>
      <patternFill/>
    </fill>
    <fill>
      <patternFill patternType="gray125"/>
    </fill>
    <fill>
      <patternFill patternType="solid">
        <fgColor rgb="00DCE3EE"/>
      </patternFill>
    </fill>
    <fill>
      <patternFill patternType="solid">
        <fgColor rgb="001F3355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0" fillId="0" borderId="1" pivotButton="0" quotePrefix="0" xfId="0"/>
    <xf numFmtId="164" fontId="4" fillId="0" borderId="1" pivotButton="0" quotePrefix="0" xfId="0"/>
    <xf numFmtId="0" fontId="4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165" fontId="0" fillId="0" borderId="1" pivotButton="0" quotePrefix="0" xfId="0"/>
    <xf numFmtId="165" fontId="4" fillId="0" borderId="1" pivotButton="0" quotePrefix="0" xfId="0"/>
    <xf numFmtId="0" fontId="6" fillId="2" borderId="1" pivotButton="0" quotePrefix="0" xfId="0"/>
    <xf numFmtId="165" fontId="6" fillId="2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40" customWidth="1" min="2" max="2"/>
    <col width="16" customWidth="1" min="3" max="3"/>
  </cols>
  <sheetData>
    <row r="1">
      <c r="A1" s="1" t="inlineStr">
        <is>
          <t>Dr Priya Saxena v Halstead Aerospace Limited</t>
        </is>
      </c>
    </row>
    <row r="2">
      <c r="A2" s="2" t="inlineStr">
        <is>
          <t>Claimant's Schedule of Loss — prepared by Drummond Hale LLP</t>
        </is>
      </c>
    </row>
    <row r="3">
      <c r="A3" s="3" t="inlineStr">
        <is>
          <t>Claim: detriment / automatically unfair dismissal (protected disclosure) — ERA 1996 ss.47B, 103A. No statutory cap.</t>
        </is>
      </c>
    </row>
    <row r="4">
      <c r="A4" s="3" t="inlineStr">
        <is>
          <t>Calculated as at hypothetical hearing date 1 December 2025</t>
        </is>
      </c>
    </row>
    <row r="6">
      <c r="A6" s="4" t="inlineStr">
        <is>
          <t>Key figures</t>
        </is>
      </c>
      <c r="B6" s="5" t="n"/>
    </row>
    <row r="7">
      <c r="A7" s="6" t="inlineStr">
        <is>
          <t>Gross annual salary</t>
        </is>
      </c>
      <c r="B7" s="7" t="n">
        <v>142000</v>
      </c>
    </row>
    <row r="8">
      <c r="A8" s="6" t="inlineStr">
        <is>
          <t>Net monthly salary (approx.)</t>
        </is>
      </c>
      <c r="B8" s="7" t="n">
        <v>7480</v>
      </c>
    </row>
    <row r="9">
      <c r="A9" s="6" t="inlineStr">
        <is>
          <t>Annual pension contribution (8%)</t>
        </is>
      </c>
      <c r="B9" s="7" t="n">
        <v>11360</v>
      </c>
    </row>
    <row r="10">
      <c r="A10" s="6" t="inlineStr">
        <is>
          <t>Annual benefits (PMI, PHI, DIS)</t>
        </is>
      </c>
      <c r="B10" s="7" t="n">
        <v>4150</v>
      </c>
    </row>
    <row r="11">
      <c r="A11" s="6" t="inlineStr">
        <is>
          <t>Target annual bonus (25%)</t>
        </is>
      </c>
      <c r="B11" s="7" t="n">
        <v>35500</v>
      </c>
    </row>
    <row r="12">
      <c r="A12" s="6" t="inlineStr">
        <is>
          <t>Date of termination</t>
        </is>
      </c>
      <c r="B12" s="8" t="inlineStr">
        <is>
          <t>28 Feb 2025</t>
        </is>
      </c>
    </row>
    <row r="13">
      <c r="A13" s="6" t="inlineStr">
        <is>
          <t>Period to hearing (months)</t>
        </is>
      </c>
      <c r="B13" s="8" t="n">
        <v>9</v>
      </c>
    </row>
    <row r="15">
      <c r="A15" s="9" t="inlineStr">
        <is>
          <t>Head of loss</t>
        </is>
      </c>
      <c r="B15" s="9" t="inlineStr">
        <is>
          <t>Basis</t>
        </is>
      </c>
      <c r="C15" s="9" t="inlineStr">
        <is>
          <t>Amount (£)</t>
        </is>
      </c>
    </row>
    <row r="16">
      <c r="A16" s="6" t="inlineStr">
        <is>
          <t>Basic award</t>
        </is>
      </c>
      <c r="B16" s="6" t="inlineStr">
        <is>
          <t>Statutory basic award (age/service) — capped element</t>
        </is>
      </c>
      <c r="C16" s="10" t="n">
        <v>8190</v>
      </c>
    </row>
    <row r="17">
      <c r="A17" s="6" t="inlineStr">
        <is>
          <t>Past loss of earnings (net)</t>
        </is>
      </c>
      <c r="B17" s="6" t="inlineStr">
        <is>
          <t>Calculated</t>
        </is>
      </c>
      <c r="C17" s="10">
        <f>B8*B13</f>
        <v/>
      </c>
    </row>
    <row r="18">
      <c r="A18" s="6" t="inlineStr">
        <is>
          <t>Past loss of pension</t>
        </is>
      </c>
      <c r="B18" s="6" t="inlineStr">
        <is>
          <t>Calculated</t>
        </is>
      </c>
      <c r="C18" s="10">
        <f>(B9/12)*B13</f>
        <v/>
      </c>
    </row>
    <row r="19">
      <c r="A19" s="6" t="inlineStr">
        <is>
          <t>Past loss of benefits</t>
        </is>
      </c>
      <c r="B19" s="6" t="inlineStr">
        <is>
          <t>Calculated</t>
        </is>
      </c>
      <c r="C19" s="10">
        <f>(B10/12)*B13</f>
        <v/>
      </c>
    </row>
    <row r="20">
      <c r="A20" s="6" t="inlineStr">
        <is>
          <t>Loss of statutory rights</t>
        </is>
      </c>
      <c r="B20" s="6" t="inlineStr">
        <is>
          <t>Conventional award</t>
        </is>
      </c>
      <c r="C20" s="10" t="n">
        <v>600</v>
      </c>
    </row>
    <row r="21">
      <c r="A21" s="6" t="inlineStr">
        <is>
          <t>Future loss of earnings (net, 12 months)</t>
        </is>
      </c>
      <c r="B21" s="6" t="inlineStr">
        <is>
          <t>Calculated</t>
        </is>
      </c>
      <c r="C21" s="10">
        <f>B8*12</f>
        <v/>
      </c>
    </row>
    <row r="22">
      <c r="A22" s="6" t="inlineStr">
        <is>
          <t>Future loss of pension (12 months)</t>
        </is>
      </c>
      <c r="B22" s="6" t="inlineStr">
        <is>
          <t>Calculated</t>
        </is>
      </c>
      <c r="C22" s="10">
        <f>B9</f>
        <v/>
      </c>
    </row>
    <row r="23">
      <c r="A23" s="6" t="inlineStr">
        <is>
          <t>Lost bonus (2024/25, pro rata)</t>
        </is>
      </c>
      <c r="B23" s="6" t="inlineStr">
        <is>
          <t>Calculated</t>
        </is>
      </c>
      <c r="C23" s="10">
        <f>B11*0.6</f>
        <v/>
      </c>
    </row>
    <row r="24">
      <c r="A24" s="6" t="inlineStr">
        <is>
          <t>Injury to feelings (middle Vento band)</t>
        </is>
      </c>
      <c r="B24" s="6" t="inlineStr">
        <is>
          <t>Aggravated/detriment award</t>
        </is>
      </c>
      <c r="C24" s="10" t="n">
        <v>22000</v>
      </c>
    </row>
    <row r="25">
      <c r="A25" s="6" t="inlineStr">
        <is>
          <t>Interest on injury to feelings (8% p.a.)</t>
        </is>
      </c>
      <c r="B25" s="6" t="inlineStr">
        <is>
          <t>8% per annum on injury to feelings</t>
        </is>
      </c>
      <c r="C25" s="10" t="n">
        <v>1760</v>
      </c>
    </row>
    <row r="26">
      <c r="A26" s="8" t="inlineStr">
        <is>
          <t>Sub-total (compensatory)</t>
        </is>
      </c>
      <c r="B26" s="6" t="n"/>
      <c r="C26" s="11">
        <f>SUM(C16:C25)</f>
        <v/>
      </c>
    </row>
    <row r="27">
      <c r="A27" s="6" t="inlineStr">
        <is>
          <t>Grossing-up uplift (tax on sums over £30,000)</t>
        </is>
      </c>
      <c r="B27" s="6" t="inlineStr">
        <is>
          <t>Estimated tax gross-up at 40%</t>
        </is>
      </c>
      <c r="C27" s="10">
        <f>ROUND((C26-30000)*0.40,0)</f>
        <v/>
      </c>
    </row>
    <row r="28">
      <c r="A28" s="12" t="inlineStr">
        <is>
          <t>TOTAL CLAIMED</t>
        </is>
      </c>
      <c r="B28" s="5" t="n"/>
      <c r="C28" s="13">
        <f>C26+C27</f>
        <v/>
      </c>
    </row>
    <row r="30">
      <c r="A30" s="14" t="inlineStr">
        <is>
          <t>Note: a Polkey / contributory-fault reduction is not admitted. The claimant reserves the right to amend this schedule following disclosure.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2026-06-26T15:12:46Z</dcterms:created>
  <dcterms:modified xmlns:dcterms="http://purl.org/dc/terms/" xmlns:xsi="http://www.w3.org/2001/XMLSchema-instance" xsi:type="dcterms:W3CDTF">2026-06-26T15:12:46Z</dcterms:modified>
</cp:coreProperties>
</file>