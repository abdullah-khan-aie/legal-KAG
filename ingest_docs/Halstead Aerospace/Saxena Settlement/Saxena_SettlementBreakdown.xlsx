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;[Red]-£#,##0.00"/>
  </numFmts>
  <fonts count="6">
    <font>
      <name val="Calibri"/>
      <family val="2"/>
      <color theme="1"/>
      <sz val="11"/>
      <scheme val="minor"/>
    </font>
    <font>
      <b val="1"/>
      <color rgb="001F3355"/>
      <sz val="14"/>
    </font>
    <font>
      <i val="1"/>
      <sz val="10"/>
    </font>
    <font>
      <b val="1"/>
      <color rgb="00FFFFFF"/>
      <sz val="11"/>
    </font>
    <font>
      <b val="1"/>
    </font>
    <font>
      <b val="1"/>
      <color rgb="001F3355"/>
      <sz val="12"/>
    </font>
  </fonts>
  <fills count="4">
    <fill>
      <patternFill/>
    </fill>
    <fill>
      <patternFill patternType="gray125"/>
    </fill>
    <fill>
      <patternFill patternType="solid">
        <fgColor rgb="001F3355"/>
      </patternFill>
    </fill>
    <fill>
      <patternFill patternType="solid">
        <fgColor rgb="00DCE3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0" fontId="0" fillId="3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Saxena Settlement — Payment Breakdown (FINAL, executed 24 Feb 2025)</t>
        </is>
      </c>
    </row>
    <row r="2">
      <c r="A2" s="2" t="inlineStr">
        <is>
          <t>Matter WC-00146 · Halstead Aerospace Limited · Prepared by Whitfield Carter LLP</t>
        </is>
      </c>
    </row>
    <row r="4">
      <c r="A4" s="3" t="inlineStr">
        <is>
          <t>Item</t>
        </is>
      </c>
      <c r="B4" s="3" t="inlineStr">
        <is>
          <t>Treatment</t>
        </is>
      </c>
      <c r="C4" s="3" t="inlineStr">
        <is>
          <t>Gross (£)</t>
        </is>
      </c>
      <c r="D4" s="3" t="inlineStr">
        <is>
          <t>Tax/NIC (£)</t>
        </is>
      </c>
      <c r="E4" s="3" t="inlineStr">
        <is>
          <t>Net to employee (£)</t>
        </is>
      </c>
    </row>
    <row r="5">
      <c r="A5" s="4" t="inlineStr">
        <is>
          <t>Salary to Termination Date (Feb 2025)</t>
        </is>
      </c>
      <c r="B5" s="4" t="inlineStr">
        <is>
          <t>Taxable (PAYE)</t>
        </is>
      </c>
      <c r="C5" s="5" t="n">
        <v>11833</v>
      </c>
      <c r="D5" s="5">
        <f>ROUND(C5*0.42,0)</f>
        <v/>
      </c>
      <c r="E5" s="5">
        <f>C5-D5</f>
        <v/>
      </c>
    </row>
    <row r="6">
      <c r="A6" s="4" t="inlineStr">
        <is>
          <t>Accrued untaken holiday (4.5 days)</t>
        </is>
      </c>
      <c r="B6" s="4" t="inlineStr">
        <is>
          <t>Taxable (PAYE)</t>
        </is>
      </c>
      <c r="C6" s="5" t="n">
        <v>2460</v>
      </c>
      <c r="D6" s="5">
        <f>ROUND(C6*0.42,0)</f>
        <v/>
      </c>
      <c r="E6" s="5">
        <f>C6-D6</f>
        <v/>
      </c>
    </row>
    <row r="7">
      <c r="A7" s="4" t="inlineStr">
        <is>
          <t>Payment in lieu of notice (6 months)</t>
        </is>
      </c>
      <c r="B7" s="4" t="inlineStr">
        <is>
          <t>Taxable (PILON)</t>
        </is>
      </c>
      <c r="C7" s="5" t="n">
        <v>71000</v>
      </c>
      <c r="D7" s="5">
        <f>ROUND(C7*0.42,0)</f>
        <v/>
      </c>
      <c r="E7" s="5">
        <f>C7-D7</f>
        <v/>
      </c>
    </row>
    <row r="8">
      <c r="A8" s="4" t="inlineStr">
        <is>
          <t>Ex gratia compensation — tax free element</t>
        </is>
      </c>
      <c r="B8" s="4" t="inlineStr">
        <is>
          <t>Tax free (s.401-403 ITEPA)</t>
        </is>
      </c>
      <c r="C8" s="5" t="n">
        <v>30000</v>
      </c>
      <c r="D8" s="5" t="n">
        <v>0</v>
      </c>
      <c r="E8" s="5">
        <f>C8-D8</f>
        <v/>
      </c>
    </row>
    <row r="9">
      <c r="A9" s="4" t="inlineStr">
        <is>
          <t>Ex gratia compensation — balance</t>
        </is>
      </c>
      <c r="B9" s="4" t="inlineStr">
        <is>
          <t>Taxable (40%)</t>
        </is>
      </c>
      <c r="C9" s="5" t="n">
        <v>100000</v>
      </c>
      <c r="D9" s="5">
        <f>ROUND(C9*0.40,0)</f>
        <v/>
      </c>
      <c r="E9" s="5">
        <f>C9-D9</f>
        <v/>
      </c>
    </row>
    <row r="10">
      <c r="A10" s="6" t="inlineStr">
        <is>
          <t>TOTAL</t>
        </is>
      </c>
      <c r="B10" s="7" t="n"/>
      <c r="C10" s="8">
        <f>SUM(C5:C9)</f>
        <v/>
      </c>
      <c r="D10" s="8">
        <f>SUM(D5:D9)</f>
        <v/>
      </c>
      <c r="E10" s="8">
        <f>SUM(E5:E9)</f>
        <v/>
      </c>
    </row>
    <row r="12">
      <c r="A12" s="6" t="inlineStr">
        <is>
          <t>Additional costs borne by the Company (not paid to employee)</t>
        </is>
      </c>
      <c r="B12" s="7" t="n"/>
      <c r="C12" s="7" t="n"/>
      <c r="D12" s="9" t="n"/>
      <c r="E12" s="9" t="n"/>
    </row>
    <row r="13">
      <c r="A13" s="4" t="inlineStr">
        <is>
          <t>Contribution to employee's legal fees</t>
        </is>
      </c>
      <c r="B13" s="4" t="n"/>
      <c r="C13" s="5" t="n">
        <v>750</v>
      </c>
    </row>
    <row r="14">
      <c r="A14" s="4" t="inlineStr">
        <is>
          <t>VAT on legal fee contribution (20%)</t>
        </is>
      </c>
      <c r="B14" s="4" t="n"/>
      <c r="C14" s="5" t="n">
        <v>150</v>
      </c>
    </row>
    <row r="15">
      <c r="A15" s="4" t="inlineStr">
        <is>
          <t>Outplacement support (agreed)</t>
        </is>
      </c>
      <c r="B15" s="4" t="n"/>
      <c r="C15" s="5" t="n">
        <v>4000</v>
      </c>
    </row>
    <row r="16">
      <c r="A16" s="4" t="inlineStr">
        <is>
          <t>VAT on outplacement (20%)</t>
        </is>
      </c>
      <c r="B16" s="4" t="n"/>
      <c r="C16" s="5" t="n">
        <v>800</v>
      </c>
    </row>
    <row r="17">
      <c r="A17" s="4" t="inlineStr">
        <is>
          <t>Employer NIC on PILON (13.8%)</t>
        </is>
      </c>
      <c r="B17" s="4" t="n"/>
      <c r="C17" s="5" t="n">
        <v>9798</v>
      </c>
    </row>
    <row r="18">
      <c r="A18" s="10" t="inlineStr">
        <is>
          <t>Sub-total additional company cost</t>
        </is>
      </c>
      <c r="B18" s="4" t="n"/>
      <c r="C18" s="11">
        <f>SUM(C13:C17)</f>
        <v/>
      </c>
    </row>
    <row r="20">
      <c r="A20" s="12" t="inlineStr">
        <is>
          <t>TOTAL COST TO COMPANY</t>
        </is>
      </c>
      <c r="C20" s="13">
        <f>C10+C18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2026-06-26T15:12:46Z</dcterms:created>
  <dcterms:modified xmlns:dcterms="http://purl.org/dc/terms/" xmlns:xsi="http://www.w3.org/2001/XMLSchema-instance" xsi:type="dcterms:W3CDTF">2026-06-26T15:12:46Z</dcterms:modified>
</cp:coreProperties>
</file>