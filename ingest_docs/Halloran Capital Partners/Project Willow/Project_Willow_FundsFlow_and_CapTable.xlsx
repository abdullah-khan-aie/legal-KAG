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  <sheet name="Cap Table (Pre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<sst xmlns="http://schemas.openxmlformats.org/spreadsheetml/2006/main" count="53" uniqueCount="50">
  <si>
    <t xml:space="preserve">Project Willow — Completion Funds Flow Statement</t>
  </si>
  <si>
    <t xml:space="preserve">Acquisition of Westmere Coatings Limited by Willow Bidco Limited — Completion 16 May 2025</t>
  </si>
  <si>
    <t xml:space="preserve">All figures in GBP (£). Source: SPA execution version cl.3 and Completion Statement.</t>
  </si>
  <si>
    <t xml:space="preserve">Ref</t>
  </si>
  <si>
    <t xml:space="preserve">Item</t>
  </si>
  <si>
    <t xml:space="preserve">Note</t>
  </si>
  <si>
    <t xml:space="preserve">Amount (£)</t>
  </si>
  <si>
    <t xml:space="preserve">A</t>
  </si>
  <si>
    <t xml:space="preserve">Enterprise Value</t>
  </si>
  <si>
    <t xml:space="preserve">SPA cl.3.1; Heads of Terms cl.2.1</t>
  </si>
  <si>
    <t xml:space="preserve">B</t>
  </si>
  <si>
    <t xml:space="preserve">less: Estimated Net Debt</t>
  </si>
  <si>
    <t xml:space="preserve">SPA cl.1 (Estimated Net Debt)</t>
  </si>
  <si>
    <t xml:space="preserve">C</t>
  </si>
  <si>
    <t xml:space="preserve">Headline equity value (A+B)</t>
  </si>
  <si>
    <t xml:space="preserve">Subtotal (A + B)</t>
  </si>
  <si>
    <t xml:space="preserve">D</t>
  </si>
  <si>
    <t xml:space="preserve">plus: Working capital adjustment</t>
  </si>
  <si>
    <t xml:space="preserve">Est. completion WC £7,050,000 vs target £6,800,000</t>
  </si>
  <si>
    <t xml:space="preserve">E</t>
  </si>
  <si>
    <t xml:space="preserve">Equity consideration (C+D)</t>
  </si>
  <si>
    <t xml:space="preserve">Equity consideration (C + D)</t>
  </si>
  <si>
    <t xml:space="preserve">Application of funds at completion</t>
  </si>
  <si>
    <t xml:space="preserve">Payee</t>
  </si>
  <si>
    <t xml:space="preserve">F</t>
  </si>
  <si>
    <t xml:space="preserve">Cash to Sellers (via Sellers' Solicitors)</t>
  </si>
  <si>
    <t xml:space="preserve">Castle &amp; Vane LLP client account</t>
  </si>
  <si>
    <t xml:space="preserve">G</t>
  </si>
  <si>
    <t xml:space="preserve">Retention Amount to Retention Account</t>
  </si>
  <si>
    <t xml:space="preserve">Joint solicitors' retention account</t>
  </si>
  <si>
    <t xml:space="preserve">H</t>
  </si>
  <si>
    <t xml:space="preserve">Total funds applied (F+G)</t>
  </si>
  <si>
    <t xml:space="preserve">Check: Total applied equals equity consideration</t>
  </si>
  <si>
    <t xml:space="preserve">Project Willow — Westmere Coatings Limited: Shareholding &amp; Consideration</t>
  </si>
  <si>
    <t xml:space="preserve">Pre-completion shareholders and allocation of equity consideration (£39,550,000)</t>
  </si>
  <si>
    <t xml:space="preserve">Shareholder</t>
  </si>
  <si>
    <t xml:space="preserve">Shares</t>
  </si>
  <si>
    <t xml:space="preserve">% Holding</t>
  </si>
  <si>
    <t xml:space="preserve">Gross Consideration (£)</t>
  </si>
  <si>
    <t xml:space="preserve">Retention share (£)</t>
  </si>
  <si>
    <t xml:space="preserve">Cash at completion (£)</t>
  </si>
  <si>
    <t xml:space="preserve">Geoffrey Westmere</t>
  </si>
  <si>
    <t xml:space="preserve">Margaret Westmere</t>
  </si>
  <si>
    <t xml:space="preserve">The Westmere 2012 Family Settlement</t>
  </si>
  <si>
    <t xml:space="preserve">Daniel Westmere</t>
  </si>
  <si>
    <t xml:space="preserve">Total</t>
  </si>
  <si>
    <t xml:space="preserve">Assumptions</t>
  </si>
  <si>
    <t xml:space="preserve">Total equity consideration (£)</t>
  </si>
  <si>
    <t xml:space="preserve">Total retention (£)</t>
  </si>
  <si>
    <t xml:space="preserve">Net cash at completion (£)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</si>
</sst>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;\-"/>
    <numFmt numFmtId="166" formatCode="#,##0;\(#,##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30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s">
        <v>9</v>
      </c>
      <c r="D6" s="7" t="n">
        <v>42500000</v>
      </c>
    </row>
    <row r="7" customFormat="false" ht="15" hidden="false" customHeight="false" outlineLevel="0" collapsed="false">
      <c r="A7" s="5" t="s">
        <v>10</v>
      </c>
      <c r="B7" s="5" t="s">
        <v>11</v>
      </c>
      <c r="C7" s="6" t="s">
        <v>12</v>
      </c>
      <c r="D7" s="7" t="n">
        <v>-3200000</v>
      </c>
    </row>
    <row r="8" customFormat="false" ht="15" hidden="false" customHeight="false" outlineLevel="0" collapsed="false">
      <c r="A8" s="5" t="s">
        <v>13</v>
      </c>
      <c r="B8" s="5" t="s">
        <v>14</v>
      </c>
      <c r="C8" s="6" t="s">
        <v>15</v>
      </c>
      <c r="D8" s="8" t="n">
        <f aca="false">D6+D7</f>
        <v>39300000</v>
      </c>
    </row>
    <row r="9" customFormat="false" ht="15" hidden="false" customHeight="false" outlineLevel="0" collapsed="false">
      <c r="A9" s="5" t="s">
        <v>16</v>
      </c>
      <c r="B9" s="5" t="s">
        <v>17</v>
      </c>
      <c r="C9" s="6" t="s">
        <v>18</v>
      </c>
      <c r="D9" s="7" t="n">
        <v>250000</v>
      </c>
    </row>
    <row r="10" customFormat="false" ht="15" hidden="false" customHeight="false" outlineLevel="0" collapsed="false">
      <c r="A10" s="5" t="s">
        <v>19</v>
      </c>
      <c r="B10" s="5" t="s">
        <v>20</v>
      </c>
      <c r="C10" s="6" t="s">
        <v>21</v>
      </c>
      <c r="D10" s="8" t="n">
        <f aca="false">D8+D9</f>
        <v>39550000</v>
      </c>
    </row>
    <row r="12" customFormat="false" ht="15" hidden="false" customHeight="false" outlineLevel="0" collapsed="false">
      <c r="B12" s="9" t="s">
        <v>22</v>
      </c>
    </row>
    <row r="13" customFormat="false" ht="15" hidden="false" customHeight="false" outlineLevel="0" collapsed="false">
      <c r="A13" s="4" t="s">
        <v>3</v>
      </c>
      <c r="B13" s="4" t="s">
        <v>4</v>
      </c>
      <c r="C13" s="4" t="s">
        <v>23</v>
      </c>
      <c r="D13" s="4" t="s">
        <v>6</v>
      </c>
    </row>
    <row r="14" customFormat="false" ht="15" hidden="false" customHeight="false" outlineLevel="0" collapsed="false">
      <c r="A14" s="5" t="s">
        <v>24</v>
      </c>
      <c r="B14" s="5" t="s">
        <v>25</v>
      </c>
      <c r="C14" s="5" t="s">
        <v>26</v>
      </c>
      <c r="D14" s="10" t="n">
        <f aca="false">D10-D15</f>
        <v>37550000</v>
      </c>
    </row>
    <row r="15" customFormat="false" ht="15" hidden="false" customHeight="false" outlineLevel="0" collapsed="false">
      <c r="A15" s="5" t="s">
        <v>27</v>
      </c>
      <c r="B15" s="5" t="s">
        <v>28</v>
      </c>
      <c r="C15" s="5" t="s">
        <v>29</v>
      </c>
      <c r="D15" s="7" t="n">
        <v>2000000</v>
      </c>
    </row>
    <row r="16" customFormat="false" ht="15" hidden="false" customHeight="false" outlineLevel="0" collapsed="false">
      <c r="A16" s="5" t="s">
        <v>30</v>
      </c>
      <c r="B16" s="11" t="s">
        <v>31</v>
      </c>
      <c r="D16" s="8" t="n">
        <f aca="false">D14+D15</f>
        <v>39550000</v>
      </c>
    </row>
    <row r="18" customFormat="false" ht="15" hidden="false" customHeight="false" outlineLevel="0" collapsed="false">
      <c r="B18" s="2" t="s">
        <v>32</v>
      </c>
      <c r="D18" s="12" t="n">
        <f aca="false">D16-D10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26.85" hidden="false" customHeight="fals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</row>
    <row r="5" customFormat="false" ht="15" hidden="false" customHeight="false" outlineLevel="0" collapsed="false">
      <c r="A5" s="5" t="s">
        <v>41</v>
      </c>
      <c r="B5" s="13" t="n">
        <v>6800</v>
      </c>
      <c r="C5" s="14" t="n">
        <f aca="false">B5/$B$9</f>
        <v>0.68</v>
      </c>
      <c r="D5" s="10" t="n">
        <f aca="false">C5*$B$12</f>
        <v>26894000</v>
      </c>
      <c r="E5" s="10" t="n">
        <f aca="false">C5*$B$13</f>
        <v>1360000</v>
      </c>
      <c r="F5" s="10" t="n">
        <f aca="false">D5-E5</f>
        <v>25534000</v>
      </c>
    </row>
    <row r="6" customFormat="false" ht="15" hidden="false" customHeight="false" outlineLevel="0" collapsed="false">
      <c r="A6" s="5" t="s">
        <v>42</v>
      </c>
      <c r="B6" s="13" t="n">
        <v>1700</v>
      </c>
      <c r="C6" s="14" t="n">
        <f aca="false">B6/$B$9</f>
        <v>0.17</v>
      </c>
      <c r="D6" s="10" t="n">
        <f aca="false">C6*$B$12</f>
        <v>6723500</v>
      </c>
      <c r="E6" s="10" t="n">
        <f aca="false">C6*$B$13</f>
        <v>340000</v>
      </c>
      <c r="F6" s="10" t="n">
        <f aca="false">D6-E6</f>
        <v>6383500</v>
      </c>
    </row>
    <row r="7" customFormat="false" ht="15" hidden="false" customHeight="false" outlineLevel="0" collapsed="false">
      <c r="A7" s="5" t="s">
        <v>43</v>
      </c>
      <c r="B7" s="13" t="n">
        <v>1000</v>
      </c>
      <c r="C7" s="14" t="n">
        <f aca="false">B7/$B$9</f>
        <v>0.1</v>
      </c>
      <c r="D7" s="10" t="n">
        <f aca="false">C7*$B$12</f>
        <v>3955000</v>
      </c>
      <c r="E7" s="10" t="n">
        <f aca="false">C7*$B$13</f>
        <v>200000</v>
      </c>
      <c r="F7" s="10" t="n">
        <f aca="false">D7-E7</f>
        <v>3755000</v>
      </c>
    </row>
    <row r="8" customFormat="false" ht="15" hidden="false" customHeight="false" outlineLevel="0" collapsed="false">
      <c r="A8" s="5" t="s">
        <v>44</v>
      </c>
      <c r="B8" s="13" t="n">
        <v>500</v>
      </c>
      <c r="C8" s="14" t="n">
        <f aca="false">B8/$B$9</f>
        <v>0.05</v>
      </c>
      <c r="D8" s="10" t="n">
        <f aca="false">C8*$B$12</f>
        <v>1977500</v>
      </c>
      <c r="E8" s="10" t="n">
        <f aca="false">C8*$B$13</f>
        <v>100000</v>
      </c>
      <c r="F8" s="10" t="n">
        <f aca="false">D8-E8</f>
        <v>1877500</v>
      </c>
    </row>
    <row r="9" customFormat="false" ht="15" hidden="false" customHeight="false" outlineLevel="0" collapsed="false">
      <c r="A9" s="11" t="s">
        <v>45</v>
      </c>
      <c r="B9" s="15" t="n">
        <f aca="false">SUM(B5:B8)</f>
        <v>10000</v>
      </c>
      <c r="C9" s="16" t="n">
        <f aca="false">SUM(C5:C8)</f>
        <v>1</v>
      </c>
      <c r="D9" s="8" t="n">
        <f aca="false">SUM(D5:D8)</f>
        <v>39550000</v>
      </c>
      <c r="E9" s="8" t="n">
        <f aca="false">SUM(E5:E8)</f>
        <v>2000000</v>
      </c>
      <c r="F9" s="8" t="n">
        <f aca="false">SUM(F5:F8)</f>
        <v>37550000</v>
      </c>
    </row>
    <row r="11" customFormat="false" ht="15" hidden="false" customHeight="false" outlineLevel="0" collapsed="false">
      <c r="A11" s="9" t="s">
        <v>46</v>
      </c>
    </row>
    <row r="12" customFormat="false" ht="15" hidden="false" customHeight="false" outlineLevel="0" collapsed="false">
      <c r="A12" s="0" t="s">
        <v>47</v>
      </c>
      <c r="B12" s="17" t="n">
        <v>39550000</v>
      </c>
    </row>
    <row r="13" customFormat="false" ht="15" hidden="false" customHeight="false" outlineLevel="0" collapsed="false">
      <c r="A13" s="0" t="s">
        <v>48</v>
      </c>
      <c r="B13" s="17" t="n">
        <v>2000000</v>
      </c>
    </row>
    <row r="14" customFormat="false" ht="15" hidden="false" customHeight="false" outlineLevel="0" collapsed="false">
      <c r="A14" s="0" t="s">
        <v>49</v>
      </c>
      <c r="B14" s="18" t="n">
        <f aca="false">B12-B13</f>
        <v>37550000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2026-06-28T07:33:28Z</dcterms:created>
  <dc:creator>openpyxl</dc:creator>
  <dc:description/>
  <dc:language>en-US</dc:language>
  <cp:lastModifiedBy/>
  <dcterms:modified xsi:type="dcterms:W3CDTF">2026-06-28T07:33:39Z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