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der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<sst xmlns="http://schemas.openxmlformats.org/spreadsheetml/2006/main" count="128" uniqueCount="83">
  <si>
    <t xml:space="preserve">Calderon Economics LLP — Bidding &amp; Diversion Analysis</t>
  </si>
  <si>
    <t xml:space="preserve">Pennington / Halworth — UK municipal-water centrifugal &amp; submersible pump tenders, 2022–2025. CONFIDENTIAL — prepared for Whitfield Carter LLP.</t>
  </si>
  <si>
    <t xml:space="preserve">Tender ref</t>
  </si>
  <si>
    <t xml:space="preserve">Date</t>
  </si>
  <si>
    <t xml:space="preserve">Customer</t>
  </si>
  <si>
    <t xml:space="preserve">Value (£k)</t>
  </si>
  <si>
    <t xml:space="preserve">Pennington bid?</t>
  </si>
  <si>
    <t xml:space="preserve">Halworth bid?</t>
  </si>
  <si>
    <t xml:space="preserve">Other OEM bidders</t>
  </si>
  <si>
    <t xml:space="preserve">Winner</t>
  </si>
  <si>
    <t xml:space="preserve">Both Parties bid?</t>
  </si>
  <si>
    <t xml:space="preserve">T-2201</t>
  </si>
  <si>
    <t xml:space="preserve">2022-03</t>
  </si>
  <si>
    <t xml:space="preserve">Severn Trent (AMP7 fwk)</t>
  </si>
  <si>
    <t xml:space="preserve">Y</t>
  </si>
  <si>
    <t xml:space="preserve">Grundfos; KSB</t>
  </si>
  <si>
    <t xml:space="preserve">Grundfos</t>
  </si>
  <si>
    <t xml:space="preserve">T-2208</t>
  </si>
  <si>
    <t xml:space="preserve">2022-06</t>
  </si>
  <si>
    <t xml:space="preserve">United Utilities</t>
  </si>
  <si>
    <t xml:space="preserve">N</t>
  </si>
  <si>
    <t xml:space="preserve">Xylem; Sulzer</t>
  </si>
  <si>
    <t xml:space="preserve">Pennington</t>
  </si>
  <si>
    <t xml:space="preserve">T-2215</t>
  </si>
  <si>
    <t xml:space="preserve">2022-09</t>
  </si>
  <si>
    <t xml:space="preserve">Anglian Water</t>
  </si>
  <si>
    <t xml:space="preserve">Grundfos; Wilo</t>
  </si>
  <si>
    <t xml:space="preserve">Halworth</t>
  </si>
  <si>
    <t xml:space="preserve">T-2223</t>
  </si>
  <si>
    <t xml:space="preserve">2022-11</t>
  </si>
  <si>
    <t xml:space="preserve">Yorkshire Water (Tier 1)</t>
  </si>
  <si>
    <t xml:space="preserve">KSB</t>
  </si>
  <si>
    <t xml:space="preserve">T-2304</t>
  </si>
  <si>
    <t xml:space="preserve">2023-02</t>
  </si>
  <si>
    <t xml:space="preserve">Thames Water</t>
  </si>
  <si>
    <t xml:space="preserve">Grundfos; Xylem; KSB</t>
  </si>
  <si>
    <t xml:space="preserve">Xylem</t>
  </si>
  <si>
    <t xml:space="preserve">T-2311</t>
  </si>
  <si>
    <t xml:space="preserve">2023-05</t>
  </si>
  <si>
    <t xml:space="preserve">South West Water</t>
  </si>
  <si>
    <t xml:space="preserve">Sulzer</t>
  </si>
  <si>
    <t xml:space="preserve">T-2319</t>
  </si>
  <si>
    <t xml:space="preserve">2023-08</t>
  </si>
  <si>
    <t xml:space="preserve">Severn Trent</t>
  </si>
  <si>
    <t xml:space="preserve">Grundfos; Sulzer; Wilo</t>
  </si>
  <si>
    <t xml:space="preserve">T-2327</t>
  </si>
  <si>
    <t xml:space="preserve">2023-10</t>
  </si>
  <si>
    <t xml:space="preserve">Northumbrian Water</t>
  </si>
  <si>
    <t xml:space="preserve">T-2402</t>
  </si>
  <si>
    <t xml:space="preserve">2024-01</t>
  </si>
  <si>
    <t xml:space="preserve">United Utilities (AMP8)</t>
  </si>
  <si>
    <t xml:space="preserve">Grundfos; Xylem; KSB; Sulzer</t>
  </si>
  <si>
    <t xml:space="preserve">T-2409</t>
  </si>
  <si>
    <t xml:space="preserve">2024-04</t>
  </si>
  <si>
    <t xml:space="preserve">Welsh Water</t>
  </si>
  <si>
    <t xml:space="preserve">Wilo</t>
  </si>
  <si>
    <t xml:space="preserve">T-2416</t>
  </si>
  <si>
    <t xml:space="preserve">2024-07</t>
  </si>
  <si>
    <t xml:space="preserve">T-2424</t>
  </si>
  <si>
    <t xml:space="preserve">2024-10</t>
  </si>
  <si>
    <t xml:space="preserve">Thames Water (Tier 1)</t>
  </si>
  <si>
    <t xml:space="preserve">T-2503</t>
  </si>
  <si>
    <t xml:space="preserve">2025-02</t>
  </si>
  <si>
    <t xml:space="preserve">Yorkshire Water</t>
  </si>
  <si>
    <t xml:space="preserve">KSB; Wilo</t>
  </si>
  <si>
    <t xml:space="preserve">T-2510</t>
  </si>
  <si>
    <t xml:space="preserve">2025-05</t>
  </si>
  <si>
    <t xml:space="preserve">Grundfos; Sulzer</t>
  </si>
  <si>
    <t xml:space="preserve">T-2517</t>
  </si>
  <si>
    <t xml:space="preserve">2025-08</t>
  </si>
  <si>
    <t xml:space="preserve">Southern Water</t>
  </si>
  <si>
    <t xml:space="preserve">SUMMARY STATISTICS</t>
  </si>
  <si>
    <t xml:space="preserve">Total tenders analysed</t>
  </si>
  <si>
    <t xml:space="preserve">Tenders Pennington bid</t>
  </si>
  <si>
    <t xml:space="preserve">Tenders Halworth bid</t>
  </si>
  <si>
    <t xml:space="preserve">Tenders BOTH Parties bid</t>
  </si>
  <si>
    <t xml:space="preserve">% tenders both Parties bid</t>
  </si>
  <si>
    <t xml:space="preserve">Tenders won by a global OEM</t>
  </si>
  <si>
    <t xml:space="preserve">% won by global OEM</t>
  </si>
  <si>
    <t xml:space="preserve">Tenders won by Pennington</t>
  </si>
  <si>
    <t xml:space="preserve">Tenders won by Halworth</t>
  </si>
  <si>
    <t xml:space="preserve">Finding:</t>
  </si>
  <si>
    <t xml:space="preserve">The Parties bid against each other in a minority of relevant tenders; global OEMs participate in, and win, a substantial share. Diversion between the Parties is limited, indicating a modest loss of competition on the broad frame.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</si>
</sst>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24"/>
    <col collapsed="false" customWidth="true" hidden="false" outlineLevel="0" max="9" min="8" style="1" width="1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">
        <v>11</v>
      </c>
      <c r="B5" s="5" t="s">
        <v>12</v>
      </c>
      <c r="C5" s="5" t="s">
        <v>13</v>
      </c>
      <c r="D5" s="6" t="n">
        <v>420</v>
      </c>
      <c r="E5" s="5" t="s">
        <v>14</v>
      </c>
      <c r="F5" s="5" t="s">
        <v>14</v>
      </c>
      <c r="G5" s="5" t="s">
        <v>15</v>
      </c>
      <c r="H5" s="5" t="s">
        <v>16</v>
      </c>
      <c r="I5" s="5" t="n">
        <f aca="false">IF(AND(E5="Y",F5="Y"),1,0)</f>
        <v>1</v>
      </c>
    </row>
    <row r="6" customFormat="false" ht="15" hidden="false" customHeight="false" outlineLevel="0" collapsed="false">
      <c r="A6" s="5" t="s">
        <v>17</v>
      </c>
      <c r="B6" s="5" t="s">
        <v>18</v>
      </c>
      <c r="C6" s="5" t="s">
        <v>19</v>
      </c>
      <c r="D6" s="6" t="n">
        <v>185</v>
      </c>
      <c r="E6" s="5" t="s">
        <v>14</v>
      </c>
      <c r="F6" s="5" t="s">
        <v>20</v>
      </c>
      <c r="G6" s="5" t="s">
        <v>21</v>
      </c>
      <c r="H6" s="5" t="s">
        <v>22</v>
      </c>
      <c r="I6" s="5" t="n">
        <f aca="false">IF(AND(E6="Y",F6="Y"),1,0)</f>
        <v>0</v>
      </c>
    </row>
    <row r="7" customFormat="false" ht="15" hidden="false" customHeight="false" outlineLevel="0" collapsed="false">
      <c r="A7" s="5" t="s">
        <v>23</v>
      </c>
      <c r="B7" s="5" t="s">
        <v>24</v>
      </c>
      <c r="C7" s="5" t="s">
        <v>25</v>
      </c>
      <c r="D7" s="6" t="n">
        <v>260</v>
      </c>
      <c r="E7" s="5" t="s">
        <v>20</v>
      </c>
      <c r="F7" s="5" t="s">
        <v>14</v>
      </c>
      <c r="G7" s="5" t="s">
        <v>26</v>
      </c>
      <c r="H7" s="5" t="s">
        <v>27</v>
      </c>
      <c r="I7" s="5" t="n">
        <f aca="false">IF(AND(E7="Y",F7="Y"),1,0)</f>
        <v>0</v>
      </c>
    </row>
    <row r="8" customFormat="false" ht="15" hidden="false" customHeight="false" outlineLevel="0" collapsed="false">
      <c r="A8" s="5" t="s">
        <v>28</v>
      </c>
      <c r="B8" s="5" t="s">
        <v>29</v>
      </c>
      <c r="C8" s="5" t="s">
        <v>30</v>
      </c>
      <c r="D8" s="6" t="n">
        <v>340</v>
      </c>
      <c r="E8" s="5" t="s">
        <v>14</v>
      </c>
      <c r="F8" s="5" t="s">
        <v>14</v>
      </c>
      <c r="G8" s="5" t="s">
        <v>31</v>
      </c>
      <c r="H8" s="5" t="s">
        <v>22</v>
      </c>
      <c r="I8" s="5" t="n">
        <f aca="false">IF(AND(E8="Y",F8="Y"),1,0)</f>
        <v>1</v>
      </c>
    </row>
    <row r="9" customFormat="false" ht="15" hidden="false" customHeight="false" outlineLevel="0" collapsed="false">
      <c r="A9" s="5" t="s">
        <v>32</v>
      </c>
      <c r="B9" s="5" t="s">
        <v>33</v>
      </c>
      <c r="C9" s="5" t="s">
        <v>34</v>
      </c>
      <c r="D9" s="6" t="n">
        <v>510</v>
      </c>
      <c r="E9" s="5" t="s">
        <v>14</v>
      </c>
      <c r="F9" s="5" t="s">
        <v>20</v>
      </c>
      <c r="G9" s="5" t="s">
        <v>35</v>
      </c>
      <c r="H9" s="5" t="s">
        <v>36</v>
      </c>
      <c r="I9" s="5" t="n">
        <f aca="false">IF(AND(E9="Y",F9="Y"),1,0)</f>
        <v>0</v>
      </c>
    </row>
    <row r="10" customFormat="false" ht="15" hidden="false" customHeight="false" outlineLevel="0" collapsed="false">
      <c r="A10" s="5" t="s">
        <v>37</v>
      </c>
      <c r="B10" s="5" t="s">
        <v>38</v>
      </c>
      <c r="C10" s="5" t="s">
        <v>39</v>
      </c>
      <c r="D10" s="6" t="n">
        <v>150</v>
      </c>
      <c r="E10" s="5" t="s">
        <v>20</v>
      </c>
      <c r="F10" s="5" t="s">
        <v>14</v>
      </c>
      <c r="G10" s="5" t="s">
        <v>40</v>
      </c>
      <c r="H10" s="5" t="s">
        <v>27</v>
      </c>
      <c r="I10" s="5" t="n">
        <f aca="false">IF(AND(E10="Y",F10="Y"),1,0)</f>
        <v>0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43</v>
      </c>
      <c r="D11" s="6" t="n">
        <v>295</v>
      </c>
      <c r="E11" s="5" t="s">
        <v>14</v>
      </c>
      <c r="F11" s="5" t="s">
        <v>14</v>
      </c>
      <c r="G11" s="5" t="s">
        <v>44</v>
      </c>
      <c r="H11" s="5" t="s">
        <v>16</v>
      </c>
      <c r="I11" s="5" t="n">
        <f aca="false">IF(AND(E11="Y",F11="Y"),1,0)</f>
        <v>1</v>
      </c>
    </row>
    <row r="12" customFormat="false" ht="15" hidden="false" customHeight="false" outlineLevel="0" collapsed="false">
      <c r="A12" s="5" t="s">
        <v>45</v>
      </c>
      <c r="B12" s="5" t="s">
        <v>46</v>
      </c>
      <c r="C12" s="5" t="s">
        <v>47</v>
      </c>
      <c r="D12" s="6" t="n">
        <v>210</v>
      </c>
      <c r="E12" s="5" t="s">
        <v>14</v>
      </c>
      <c r="F12" s="5" t="s">
        <v>20</v>
      </c>
      <c r="G12" s="5" t="s">
        <v>31</v>
      </c>
      <c r="H12" s="5" t="s">
        <v>22</v>
      </c>
      <c r="I12" s="5" t="n">
        <f aca="false">IF(AND(E12="Y",F12="Y"),1,0)</f>
        <v>0</v>
      </c>
    </row>
    <row r="13" customFormat="false" ht="15" hidden="false" customHeight="false" outlineLevel="0" collapsed="false">
      <c r="A13" s="5" t="s">
        <v>48</v>
      </c>
      <c r="B13" s="5" t="s">
        <v>49</v>
      </c>
      <c r="C13" s="5" t="s">
        <v>50</v>
      </c>
      <c r="D13" s="6" t="n">
        <v>640</v>
      </c>
      <c r="E13" s="5" t="s">
        <v>14</v>
      </c>
      <c r="F13" s="5" t="s">
        <v>14</v>
      </c>
      <c r="G13" s="5" t="s">
        <v>51</v>
      </c>
      <c r="H13" s="5" t="s">
        <v>31</v>
      </c>
      <c r="I13" s="5" t="n">
        <f aca="false">IF(AND(E13="Y",F13="Y"),1,0)</f>
        <v>1</v>
      </c>
    </row>
    <row r="14" customFormat="false" ht="15" hidden="false" customHeight="false" outlineLevel="0" collapsed="false">
      <c r="A14" s="5" t="s">
        <v>52</v>
      </c>
      <c r="B14" s="5" t="s">
        <v>53</v>
      </c>
      <c r="C14" s="5" t="s">
        <v>54</v>
      </c>
      <c r="D14" s="6" t="n">
        <v>175</v>
      </c>
      <c r="E14" s="5" t="s">
        <v>20</v>
      </c>
      <c r="F14" s="5" t="s">
        <v>14</v>
      </c>
      <c r="G14" s="5" t="s">
        <v>55</v>
      </c>
      <c r="H14" s="5" t="s">
        <v>27</v>
      </c>
      <c r="I14" s="5" t="n">
        <f aca="false">IF(AND(E14="Y",F14="Y"),1,0)</f>
        <v>0</v>
      </c>
    </row>
    <row r="15" customFormat="false" ht="15" hidden="false" customHeight="false" outlineLevel="0" collapsed="false">
      <c r="A15" s="5" t="s">
        <v>56</v>
      </c>
      <c r="B15" s="5" t="s">
        <v>57</v>
      </c>
      <c r="C15" s="5" t="s">
        <v>25</v>
      </c>
      <c r="D15" s="6" t="n">
        <v>380</v>
      </c>
      <c r="E15" s="5" t="s">
        <v>14</v>
      </c>
      <c r="F15" s="5" t="s">
        <v>14</v>
      </c>
      <c r="G15" s="5" t="s">
        <v>16</v>
      </c>
      <c r="H15" s="5" t="s">
        <v>27</v>
      </c>
      <c r="I15" s="5" t="n">
        <f aca="false">IF(AND(E15="Y",F15="Y"),1,0)</f>
        <v>1</v>
      </c>
    </row>
    <row r="16" customFormat="false" ht="15" hidden="false" customHeight="false" outlineLevel="0" collapsed="false">
      <c r="A16" s="5" t="s">
        <v>58</v>
      </c>
      <c r="B16" s="5" t="s">
        <v>59</v>
      </c>
      <c r="C16" s="5" t="s">
        <v>60</v>
      </c>
      <c r="D16" s="6" t="n">
        <v>455</v>
      </c>
      <c r="E16" s="5" t="s">
        <v>14</v>
      </c>
      <c r="F16" s="5" t="s">
        <v>20</v>
      </c>
      <c r="G16" s="5" t="s">
        <v>21</v>
      </c>
      <c r="H16" s="5" t="s">
        <v>22</v>
      </c>
      <c r="I16" s="5" t="n">
        <f aca="false">IF(AND(E16="Y",F16="Y"),1,0)</f>
        <v>0</v>
      </c>
    </row>
    <row r="17" customFormat="false" ht="15" hidden="false" customHeight="false" outlineLevel="0" collapsed="false">
      <c r="A17" s="5" t="s">
        <v>61</v>
      </c>
      <c r="B17" s="5" t="s">
        <v>62</v>
      </c>
      <c r="C17" s="5" t="s">
        <v>63</v>
      </c>
      <c r="D17" s="6" t="n">
        <v>290</v>
      </c>
      <c r="E17" s="5" t="s">
        <v>14</v>
      </c>
      <c r="F17" s="5" t="s">
        <v>14</v>
      </c>
      <c r="G17" s="5" t="s">
        <v>64</v>
      </c>
      <c r="H17" s="5" t="s">
        <v>22</v>
      </c>
      <c r="I17" s="5" t="n">
        <f aca="false">IF(AND(E17="Y",F17="Y"),1,0)</f>
        <v>1</v>
      </c>
    </row>
    <row r="18" customFormat="false" ht="15" hidden="false" customHeight="false" outlineLevel="0" collapsed="false">
      <c r="A18" s="5" t="s">
        <v>65</v>
      </c>
      <c r="B18" s="5" t="s">
        <v>66</v>
      </c>
      <c r="C18" s="5" t="s">
        <v>43</v>
      </c>
      <c r="D18" s="6" t="n">
        <v>330</v>
      </c>
      <c r="E18" s="5" t="s">
        <v>20</v>
      </c>
      <c r="F18" s="5" t="s">
        <v>14</v>
      </c>
      <c r="G18" s="5" t="s">
        <v>67</v>
      </c>
      <c r="H18" s="5" t="s">
        <v>16</v>
      </c>
      <c r="I18" s="5" t="n">
        <f aca="false">IF(AND(E18="Y",F18="Y"),1,0)</f>
        <v>0</v>
      </c>
    </row>
    <row r="19" customFormat="false" ht="15" hidden="false" customHeight="false" outlineLevel="0" collapsed="false">
      <c r="A19" s="5" t="s">
        <v>68</v>
      </c>
      <c r="B19" s="5" t="s">
        <v>69</v>
      </c>
      <c r="C19" s="5" t="s">
        <v>70</v>
      </c>
      <c r="D19" s="6" t="n">
        <v>225</v>
      </c>
      <c r="E19" s="5" t="s">
        <v>14</v>
      </c>
      <c r="F19" s="5" t="s">
        <v>14</v>
      </c>
      <c r="G19" s="5" t="s">
        <v>36</v>
      </c>
      <c r="H19" s="5" t="s">
        <v>27</v>
      </c>
      <c r="I19" s="5" t="n">
        <f aca="false">IF(AND(E19="Y",F19="Y"),1,0)</f>
        <v>1</v>
      </c>
    </row>
    <row r="22" customFormat="false" ht="15" hidden="false" customHeight="false" outlineLevel="0" collapsed="false">
      <c r="A22" s="7" t="s">
        <v>71</v>
      </c>
    </row>
    <row r="23" customFormat="false" ht="15" hidden="false" customHeight="false" outlineLevel="0" collapsed="false">
      <c r="A23" s="8" t="s">
        <v>72</v>
      </c>
      <c r="D23" s="9" t="n">
        <f aca="false">COUNTA(A5:A19)</f>
        <v>15</v>
      </c>
    </row>
    <row r="24" customFormat="false" ht="15" hidden="false" customHeight="false" outlineLevel="0" collapsed="false">
      <c r="A24" s="8" t="s">
        <v>73</v>
      </c>
      <c r="D24" s="9" t="n">
        <f aca="false">COUNTIF(E5:E19,"Y")</f>
        <v>11</v>
      </c>
    </row>
    <row r="25" customFormat="false" ht="15" hidden="false" customHeight="false" outlineLevel="0" collapsed="false">
      <c r="A25" s="8" t="s">
        <v>74</v>
      </c>
      <c r="D25" s="9" t="n">
        <f aca="false">COUNTIF(F5:F19,"Y")</f>
        <v>11</v>
      </c>
    </row>
    <row r="26" customFormat="false" ht="15" hidden="false" customHeight="false" outlineLevel="0" collapsed="false">
      <c r="A26" s="8" t="s">
        <v>75</v>
      </c>
      <c r="D26" s="9" t="n">
        <f aca="false">SUM(I5:I19)</f>
        <v>7</v>
      </c>
    </row>
    <row r="27" customFormat="false" ht="15" hidden="false" customHeight="false" outlineLevel="0" collapsed="false">
      <c r="A27" s="8" t="s">
        <v>76</v>
      </c>
      <c r="D27" s="10" t="n">
        <f aca="false">SUM(I5:I19)/COUNTA(A5:A19)</f>
        <v>0.466666666666667</v>
      </c>
    </row>
    <row r="28" customFormat="false" ht="15" hidden="false" customHeight="false" outlineLevel="0" collapsed="false">
      <c r="A28" s="8" t="s">
        <v>77</v>
      </c>
      <c r="D28" s="9" t="n">
        <f aca="false">COUNTIF(H5:H19,"Grundfos")+COUNTIF(H5:H19,"Xylem")+COUNTIF(H5:H19,"KSB")+COUNTIF(H5:H19,"Sulzer")</f>
        <v>5</v>
      </c>
    </row>
    <row r="29" customFormat="false" ht="15" hidden="false" customHeight="false" outlineLevel="0" collapsed="false">
      <c r="A29" s="8" t="s">
        <v>78</v>
      </c>
      <c r="D29" s="10" t="n">
        <f aca="false">D28/D23</f>
        <v>0.333333333333333</v>
      </c>
    </row>
    <row r="30" customFormat="false" ht="15" hidden="false" customHeight="false" outlineLevel="0" collapsed="false">
      <c r="A30" s="8" t="s">
        <v>79</v>
      </c>
      <c r="D30" s="9" t="n">
        <f aca="false">COUNTIF(H5:H19,"Pennington")</f>
        <v>5</v>
      </c>
    </row>
    <row r="31" customFormat="false" ht="15" hidden="false" customHeight="false" outlineLevel="0" collapsed="false">
      <c r="A31" s="8" t="s">
        <v>80</v>
      </c>
      <c r="D31" s="9" t="n">
        <f aca="false">COUNTIF(H5:H19,"Halworth")</f>
        <v>5</v>
      </c>
    </row>
    <row r="33" customFormat="false" ht="15" hidden="false" customHeight="true" outlineLevel="0" collapsed="false">
      <c r="A33" s="9" t="s">
        <v>81</v>
      </c>
      <c r="B33" s="11" t="s">
        <v>82</v>
      </c>
      <c r="C33" s="11"/>
      <c r="D33" s="11"/>
      <c r="E33" s="11"/>
      <c r="F33" s="11"/>
      <c r="G33" s="11"/>
      <c r="H33" s="11"/>
      <c r="I33" s="11"/>
    </row>
    <row r="34" customFormat="false" ht="15" hidden="false" customHeight="false" outlineLevel="0" collapsed="false">
      <c r="B34" s="11"/>
      <c r="C34" s="11"/>
      <c r="D34" s="11"/>
      <c r="E34" s="11"/>
      <c r="F34" s="11"/>
      <c r="G34" s="11"/>
      <c r="H34" s="11"/>
      <c r="I34" s="11"/>
    </row>
    <row r="35" customFormat="false" ht="15" hidden="false" customHeight="false" outlineLevel="0" collapsed="false">
      <c r="B35" s="11"/>
      <c r="C35" s="11"/>
      <c r="D35" s="11"/>
      <c r="E35" s="11"/>
      <c r="F35" s="11"/>
      <c r="G35" s="11"/>
      <c r="H35" s="11"/>
      <c r="I35" s="11"/>
    </row>
  </sheetData>
  <mergeCells count="1">
    <mergeCell ref="B33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2026-06-25T13:42:57Z</dcterms:created>
  <dc:creator>openpyxl</dc:creator>
  <dc:description/>
  <dc:language>en-US</dc:language>
  <cp:lastModifiedBy/>
  <dcterms:modified xsi:type="dcterms:W3CDTF">2026-06-25T13:42:57Z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