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are of Supply" sheetId="1" state="visible" r:id="rId3"/>
    <sheet name="Competitor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<sst xmlns="http://schemas.openxmlformats.org/spreadsheetml/2006/main" count="35" uniqueCount="35">
  <si>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 xml:space="preserve">Pennington / Halworth — UK Share of Supply Analysis</t>
  </si>
  <si>
    <t xml:space="preserve">Project Forge (WC-00117) — prepared for the CMA jurisdictional submission. Figures in £m, UK revenue, FY2024 unless stated.</t>
  </si>
  <si>
    <t xml:space="preserve">Blue = input (party data / market estimate); black = formula. Source: party management accounts &amp; Calderon Economics market sizing, Nov 2025.</t>
  </si>
  <si>
    <t xml:space="preserve">Product frame (UK)</t>
  </si>
  <si>
    <t xml:space="preserve">Total UK market (£m)</t>
  </si>
  <si>
    <t xml:space="preserve">Pennington (£m)</t>
  </si>
  <si>
    <t xml:space="preserve">Halworth (£m)</t>
  </si>
  <si>
    <t xml:space="preserve">Combined (£m)</t>
  </si>
  <si>
    <t xml:space="preserve">Pennington %</t>
  </si>
  <si>
    <t xml:space="preserve">Halworth %</t>
  </si>
  <si>
    <t xml:space="preserve">Combined %</t>
  </si>
  <si>
    <t xml:space="preserve">Increment %</t>
  </si>
  <si>
    <t xml:space="preserve">25% test met?</t>
  </si>
  <si>
    <t xml:space="preserve">All industrial pumps</t>
  </si>
  <si>
    <t xml:space="preserve">Centrifugal pumps (all end-uses)</t>
  </si>
  <si>
    <t xml:space="preserve">Municipal water &amp; wastewater centrifugal pumps</t>
  </si>
  <si>
    <t xml:space="preserve">Submersible drainage pumps (water utilities)</t>
  </si>
  <si>
    <t xml:space="preserve">Conclusion:</t>
  </si>
  <si>
    <t xml:space="preserve">Turnover test (Halworth UK turnover vs £70m):</t>
  </si>
  <si>
    <t xml:space="preserve">Competitor landscape — UK centrifugal pumps (all end-uses)</t>
  </si>
  <si>
    <t xml:space="preserve">Indicative UK shares; source: Calderon Economics market sizing, Nov 2025 (illustrative).</t>
  </si>
  <si>
    <t xml:space="preserve">Supplier</t>
  </si>
  <si>
    <t xml:space="preserve">UK revenue (£m)</t>
  </si>
  <si>
    <t xml:space="preserve">Share %</t>
  </si>
  <si>
    <t xml:space="preserve">Grundfos</t>
  </si>
  <si>
    <t xml:space="preserve">Xylem (Flygt)</t>
  </si>
  <si>
    <t xml:space="preserve">KSB</t>
  </si>
  <si>
    <t xml:space="preserve">Sulzer</t>
  </si>
  <si>
    <t xml:space="preserve">Pennington</t>
  </si>
  <si>
    <t xml:space="preserve">Halworth</t>
  </si>
  <si>
    <t xml:space="preserve">Wilo</t>
  </si>
  <si>
    <t xml:space="preserve">Ebara</t>
  </si>
  <si>
    <t xml:space="preserve">Other / distributors</t>
  </si>
  <si>
    <t xml:space="preserve">Total market</t>
  </si>
  <si>
    <t xml:space="preserve">Combined Pennington + Halworth share (broad frame):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</si>
</sst>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4"/>
    <col collapsed="false" customWidth="true" hidden="false" outlineLevel="0" max="5" min="3" style="1" width="13"/>
    <col collapsed="false" customWidth="true" hidden="false" outlineLevel="0" max="9" min="6" style="1" width="11"/>
    <col collapsed="false" customWidth="true" hidden="false" outlineLevel="0" max="10" min="10" style="1" width="12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4" t="s">
        <v>2</v>
      </c>
    </row>
    <row r="5" customFormat="false" ht="23.85" hidden="false" customHeight="fals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</row>
    <row r="6" customFormat="false" ht="15" hidden="false" customHeight="false" outlineLevel="0" collapsed="false">
      <c r="A6" s="6" t="s">
        <v>13</v>
      </c>
      <c r="B6" s="7" t="n">
        <v>1310</v>
      </c>
      <c r="C6" s="7" t="n">
        <v>118</v>
      </c>
      <c r="D6" s="7" t="n">
        <v>52</v>
      </c>
      <c r="E6" s="8" t="n">
        <f aca="false">C6+D6</f>
        <v>170</v>
      </c>
      <c r="F6" s="9" t="n">
        <f aca="false">C6/B6</f>
        <v>0.0900763358778626</v>
      </c>
      <c r="G6" s="9" t="n">
        <f aca="false">D6/B6</f>
        <v>0.0396946564885496</v>
      </c>
      <c r="H6" s="10" t="n">
        <f aca="false">E6/B6</f>
        <v>0.129770992366412</v>
      </c>
      <c r="I6" s="9" t="n">
        <f aca="false">MIN(F6,G6)</f>
        <v>0.0396946564885496</v>
      </c>
      <c r="J6" s="11" t="str">
        <f aca="false">IF(H6&gt;=0.25,"YES","no")</f>
        <v>no</v>
      </c>
    </row>
    <row r="7" customFormat="false" ht="15" hidden="false" customHeight="false" outlineLevel="0" collapsed="false">
      <c r="A7" s="6" t="s">
        <v>14</v>
      </c>
      <c r="B7" s="7" t="n">
        <v>640</v>
      </c>
      <c r="C7" s="7" t="n">
        <v>90</v>
      </c>
      <c r="D7" s="7" t="n">
        <v>51</v>
      </c>
      <c r="E7" s="8" t="n">
        <f aca="false">C7+D7</f>
        <v>141</v>
      </c>
      <c r="F7" s="9" t="n">
        <f aca="false">C7/B7</f>
        <v>0.140625</v>
      </c>
      <c r="G7" s="9" t="n">
        <f aca="false">D7/B7</f>
        <v>0.0796875</v>
      </c>
      <c r="H7" s="10" t="n">
        <f aca="false">E7/B7</f>
        <v>0.2203125</v>
      </c>
      <c r="I7" s="9" t="n">
        <f aca="false">MIN(F7,G7)</f>
        <v>0.0796875</v>
      </c>
      <c r="J7" s="11" t="str">
        <f aca="false">IF(H7&gt;=0.25,"YES","no")</f>
        <v>no</v>
      </c>
    </row>
    <row r="8" customFormat="false" ht="15" hidden="false" customHeight="false" outlineLevel="0" collapsed="false">
      <c r="A8" s="6" t="s">
        <v>15</v>
      </c>
      <c r="B8" s="7" t="n">
        <v>92</v>
      </c>
      <c r="C8" s="7" t="n">
        <v>17.5</v>
      </c>
      <c r="D8" s="7" t="n">
        <v>15.6</v>
      </c>
      <c r="E8" s="8" t="n">
        <f aca="false">C8+D8</f>
        <v>33.1</v>
      </c>
      <c r="F8" s="9" t="n">
        <f aca="false">C8/B8</f>
        <v>0.190217391304348</v>
      </c>
      <c r="G8" s="9" t="n">
        <f aca="false">D8/B8</f>
        <v>0.169565217391304</v>
      </c>
      <c r="H8" s="10" t="n">
        <f aca="false">E8/B8</f>
        <v>0.359782608695652</v>
      </c>
      <c r="I8" s="9" t="n">
        <f aca="false">MIN(F8,G8)</f>
        <v>0.169565217391304</v>
      </c>
      <c r="J8" s="12" t="str">
        <f aca="false">IF(H8&gt;=0.25,"YES","no")</f>
        <v>YES</v>
      </c>
    </row>
    <row r="9" customFormat="false" ht="15" hidden="false" customHeight="false" outlineLevel="0" collapsed="false">
      <c r="A9" s="6" t="s">
        <v>16</v>
      </c>
      <c r="B9" s="7" t="n">
        <v>58</v>
      </c>
      <c r="C9" s="7" t="n">
        <v>6.4</v>
      </c>
      <c r="D9" s="7" t="n">
        <v>12.2</v>
      </c>
      <c r="E9" s="8" t="n">
        <f aca="false">C9+D9</f>
        <v>18.6</v>
      </c>
      <c r="F9" s="9" t="n">
        <f aca="false">C9/B9</f>
        <v>0.110344827586207</v>
      </c>
      <c r="G9" s="9" t="n">
        <f aca="false">D9/B9</f>
        <v>0.210344827586207</v>
      </c>
      <c r="H9" s="10" t="n">
        <f aca="false">E9/B9</f>
        <v>0.320689655172414</v>
      </c>
      <c r="I9" s="9" t="n">
        <f aca="false">MIN(F9,G9)</f>
        <v>0.110344827586207</v>
      </c>
      <c r="J9" s="12" t="str">
        <f aca="false">IF(H9&gt;=0.25,"YES","no")</f>
        <v>YES</v>
      </c>
    </row>
    <row r="12" customFormat="false" ht="15" hidden="false" customHeight="false" outlineLevel="0" collapsed="false">
      <c r="A12" s="13" t="s">
        <v>17</v>
      </c>
      <c r="B12" s="13" t="str">
        <f aca="false">IF(COUNTIF(J6:J9,"YES")&gt;0,"Share-of-supply test met on "&amp;COUNTIF(J6:J9,"YES")&amp;" frame(s); jurisdiction likely","Test not met")</f>
        <v>Share-of-supply test met on 2 frame(s); jurisdiction likely</v>
      </c>
    </row>
    <row r="13" customFormat="false" ht="15" hidden="false" customHeight="false" outlineLevel="0" collapsed="false">
      <c r="A13" s="14" t="s">
        <v>18</v>
      </c>
      <c r="B13" s="15" t="n">
        <v>24.6</v>
      </c>
      <c r="C13" s="13" t="str">
        <f aca="false">IF(B13&gt;=70,"MET","NOT MET (below £70m)")</f>
        <v>NOT MET (below £70m)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6"/>
    <col collapsed="false" customWidth="true" hidden="false" outlineLevel="0" max="3" min="3" style="1" width="10"/>
  </cols>
  <sheetData>
    <row r="1" customFormat="false" ht="17.35" hidden="false" customHeight="false" outlineLevel="0" collapsed="false">
      <c r="A1" s="2" t="s">
        <v>19</v>
      </c>
    </row>
    <row r="2" customFormat="false" ht="15" hidden="false" customHeight="false" outlineLevel="0" collapsed="false">
      <c r="A2" s="3" t="s">
        <v>20</v>
      </c>
    </row>
    <row r="4" customFormat="false" ht="15" hidden="false" customHeight="false" outlineLevel="0" collapsed="false">
      <c r="A4" s="5" t="s">
        <v>21</v>
      </c>
      <c r="B4" s="5" t="s">
        <v>22</v>
      </c>
      <c r="C4" s="5" t="s">
        <v>23</v>
      </c>
    </row>
    <row r="5" customFormat="false" ht="15" hidden="false" customHeight="false" outlineLevel="0" collapsed="false">
      <c r="A5" s="6" t="s">
        <v>24</v>
      </c>
      <c r="B5" s="16" t="n">
        <v>128</v>
      </c>
      <c r="C5" s="9" t="n">
        <f aca="false">B5/$B$14</f>
        <v>0.2</v>
      </c>
    </row>
    <row r="6" customFormat="false" ht="15" hidden="false" customHeight="false" outlineLevel="0" collapsed="false">
      <c r="A6" s="6" t="s">
        <v>25</v>
      </c>
      <c r="B6" s="16" t="n">
        <v>96</v>
      </c>
      <c r="C6" s="9" t="n">
        <f aca="false">B6/$B$14</f>
        <v>0.15</v>
      </c>
    </row>
    <row r="7" customFormat="false" ht="15" hidden="false" customHeight="false" outlineLevel="0" collapsed="false">
      <c r="A7" s="6" t="s">
        <v>26</v>
      </c>
      <c r="B7" s="16" t="n">
        <v>78</v>
      </c>
      <c r="C7" s="9" t="n">
        <f aca="false">B7/$B$14</f>
        <v>0.121875</v>
      </c>
    </row>
    <row r="8" customFormat="false" ht="15" hidden="false" customHeight="false" outlineLevel="0" collapsed="false">
      <c r="A8" s="6" t="s">
        <v>27</v>
      </c>
      <c r="B8" s="16" t="n">
        <v>61</v>
      </c>
      <c r="C8" s="9" t="n">
        <f aca="false">B8/$B$14</f>
        <v>0.0953125</v>
      </c>
    </row>
    <row r="9" customFormat="false" ht="15" hidden="false" customHeight="false" outlineLevel="0" collapsed="false">
      <c r="A9" s="11" t="s">
        <v>28</v>
      </c>
      <c r="B9" s="16" t="n">
        <v>90</v>
      </c>
      <c r="C9" s="9" t="n">
        <f aca="false">B9/$B$14</f>
        <v>0.140625</v>
      </c>
    </row>
    <row r="10" customFormat="false" ht="15" hidden="false" customHeight="false" outlineLevel="0" collapsed="false">
      <c r="A10" s="11" t="s">
        <v>29</v>
      </c>
      <c r="B10" s="16" t="n">
        <v>51</v>
      </c>
      <c r="C10" s="9" t="n">
        <f aca="false">B10/$B$14</f>
        <v>0.0796875</v>
      </c>
    </row>
    <row r="11" customFormat="false" ht="15" hidden="false" customHeight="false" outlineLevel="0" collapsed="false">
      <c r="A11" s="6" t="s">
        <v>30</v>
      </c>
      <c r="B11" s="16" t="n">
        <v>44</v>
      </c>
      <c r="C11" s="9" t="n">
        <f aca="false">B11/$B$14</f>
        <v>0.06875</v>
      </c>
    </row>
    <row r="12" customFormat="false" ht="15" hidden="false" customHeight="false" outlineLevel="0" collapsed="false">
      <c r="A12" s="6" t="s">
        <v>31</v>
      </c>
      <c r="B12" s="16" t="n">
        <v>33</v>
      </c>
      <c r="C12" s="9" t="n">
        <f aca="false">B12/$B$14</f>
        <v>0.0515625</v>
      </c>
    </row>
    <row r="13" customFormat="false" ht="15" hidden="false" customHeight="false" outlineLevel="0" collapsed="false">
      <c r="A13" s="6" t="s">
        <v>32</v>
      </c>
      <c r="B13" s="16" t="n">
        <v>59</v>
      </c>
      <c r="C13" s="9" t="n">
        <f aca="false">B13/$B$14</f>
        <v>0.0921875</v>
      </c>
    </row>
    <row r="14" customFormat="false" ht="15" hidden="false" customHeight="false" outlineLevel="0" collapsed="false">
      <c r="A14" s="11" t="s">
        <v>33</v>
      </c>
      <c r="B14" s="11" t="n">
        <f aca="false">SUM(B5:B13)</f>
        <v>640</v>
      </c>
      <c r="C14" s="10" t="n">
        <f aca="false">B14/B14</f>
        <v>1</v>
      </c>
    </row>
    <row r="16" customFormat="false" ht="15" hidden="false" customHeight="false" outlineLevel="0" collapsed="false">
      <c r="A16" s="13" t="s">
        <v>34</v>
      </c>
      <c r="C16" s="17" t="n">
        <f aca="false">(B9+B10)/B14</f>
        <v>0.2203125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2026-06-25T13:42:57Z</dcterms:created>
  <dc:creator>openpyxl</dc:creator>
  <dc:description/>
  <dc:language>en-US</dc:language>
  <cp:lastModifiedBy/>
  <dcterms:modified xsi:type="dcterms:W3CDTF">2026-06-25T13:42:57Z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