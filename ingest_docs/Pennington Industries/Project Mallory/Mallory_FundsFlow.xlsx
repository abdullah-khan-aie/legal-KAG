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<sst xmlns="http://schemas.openxmlformats.org/spreadsheetml/2006/main" count="16" uniqueCount="16">
  <si>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Project Mallory — Completion Funds Flow Statement</t>
  </si>
  <si>
    <t xml:space="preserve">Effective Date: 28 February 2026  |  All amounts in GBP  |  Prepared by Whitfield Carter LLP</t>
  </si>
  <si>
    <t xml:space="preserve">SOURCES</t>
  </si>
  <si>
    <t xml:space="preserve">New Facility C drawing (Sterling Commercial Bank plc)</t>
  </si>
  <si>
    <t xml:space="preserve">Shareholder equity subscription (existing shareholders)</t>
  </si>
  <si>
    <t xml:space="preserve">Total sources</t>
  </si>
  <si>
    <t xml:space="preserve">USES</t>
  </si>
  <si>
    <t xml:space="preserve">Amendment fee to Lender (0.85% of £42.0m commitments)</t>
  </si>
  <si>
    <t xml:space="preserve">Facility C arrangement fee (2.0% of £6.0m)</t>
  </si>
  <si>
    <t xml:space="preserve">Lender's legal fees (Drummond Hale LLP)</t>
  </si>
  <si>
    <t xml:space="preserve">Independent Business Review fees (Marlow Tax &amp; Advisory)</t>
  </si>
  <si>
    <t xml:space="preserve">Whitfield Carter LLP fees and disbursements</t>
  </si>
  <si>
    <t xml:space="preserve">Working capital / general corporate purposes (to Company account)</t>
  </si>
  <si>
    <t xml:space="preserve">Total uses</t>
  </si>
  <si>
    <t xml:space="preserve">Check (sources less uses, must be £0)</t>
  </si>
  <si>
    <t xml:space="preserve">Memo: existing senior principal outstanding remains in place (£41.75m) and is amended, not repaid, at completion.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</si>
</sst>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EC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v>6000000</v>
      </c>
    </row>
    <row r="6" customFormat="false" ht="15" hidden="false" customHeight="false" outlineLevel="0" collapsed="false">
      <c r="A6" s="5" t="s">
        <v>4</v>
      </c>
      <c r="B6" s="6" t="n">
        <v>2000000</v>
      </c>
    </row>
    <row r="7" customFormat="false" ht="15" hidden="false" customHeight="false" outlineLevel="0" collapsed="false">
      <c r="A7" s="7" t="s">
        <v>5</v>
      </c>
      <c r="B7" s="8" t="n">
        <f aca="false">SUM(B5:B6)</f>
        <v>8000000</v>
      </c>
    </row>
    <row r="9" customFormat="false" ht="15" hidden="false" customHeight="false" outlineLevel="0" collapsed="false">
      <c r="A9" s="7" t="s">
        <v>6</v>
      </c>
      <c r="B9" s="4"/>
    </row>
    <row r="10" customFormat="false" ht="15" hidden="false" customHeight="false" outlineLevel="0" collapsed="false">
      <c r="A10" s="5" t="s">
        <v>7</v>
      </c>
      <c r="B10" s="6" t="n">
        <v>357000</v>
      </c>
    </row>
    <row r="11" customFormat="false" ht="15" hidden="false" customHeight="false" outlineLevel="0" collapsed="false">
      <c r="A11" s="5" t="s">
        <v>8</v>
      </c>
      <c r="B11" s="6" t="n">
        <v>120000</v>
      </c>
    </row>
    <row r="12" customFormat="false" ht="15" hidden="false" customHeight="false" outlineLevel="0" collapsed="false">
      <c r="A12" s="5" t="s">
        <v>9</v>
      </c>
      <c r="B12" s="6" t="n">
        <v>78500</v>
      </c>
    </row>
    <row r="13" customFormat="false" ht="15" hidden="false" customHeight="false" outlineLevel="0" collapsed="false">
      <c r="A13" s="5" t="s">
        <v>10</v>
      </c>
      <c r="B13" s="6" t="n">
        <v>95000</v>
      </c>
    </row>
    <row r="14" customFormat="false" ht="15" hidden="false" customHeight="false" outlineLevel="0" collapsed="false">
      <c r="A14" s="5" t="s">
        <v>11</v>
      </c>
      <c r="B14" s="6" t="n">
        <v>102000</v>
      </c>
    </row>
    <row r="15" customFormat="false" ht="15" hidden="false" customHeight="false" outlineLevel="0" collapsed="false">
      <c r="A15" s="5" t="s">
        <v>12</v>
      </c>
      <c r="B15" s="9" t="n">
        <f aca="false">B7-SUM(B10:B14)</f>
        <v>7247500</v>
      </c>
    </row>
    <row r="16" customFormat="false" ht="15" hidden="false" customHeight="false" outlineLevel="0" collapsed="false">
      <c r="A16" s="7" t="s">
        <v>13</v>
      </c>
      <c r="B16" s="8" t="n">
        <f aca="false">SUM(B10:B15)</f>
        <v>8000000</v>
      </c>
    </row>
    <row r="18" customFormat="false" ht="15" hidden="false" customHeight="false" outlineLevel="0" collapsed="false">
      <c r="A18" s="10" t="s">
        <v>14</v>
      </c>
      <c r="B18" s="11" t="n">
        <f aca="false">B7-B16</f>
        <v>0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2026-06-28T07:25:05Z</dcterms:created>
  <dc:creator>openpyxl</dc:creator>
  <dc:description/>
  <dc:language>en-US</dc:language>
  <cp:lastModifiedBy/>
  <dcterms:modified xsi:type="dcterms:W3CDTF">2026-06-28T07:25:05Z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