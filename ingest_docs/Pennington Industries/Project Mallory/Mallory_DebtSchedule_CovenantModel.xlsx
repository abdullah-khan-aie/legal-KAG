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 Summary" sheetId="1" state="visible" r:id="rId3"/>
    <sheet name="Covenant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<sst xmlns="http://schemas.openxmlformats.org/spreadsheetml/2006/main" count="41" uniqueCount="39">
  <si>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Project Mallory — Debt Schedule (post-restructuring)</t>
  </si>
  <si>
    <t xml:space="preserve">Pennington Industries Limited  |  Lender: Sterling Commercial Bank plc  |  Prepared by Whitfield Carter LLP, 27 Feb 2026</t>
  </si>
  <si>
    <t xml:space="preserve">Facility</t>
  </si>
  <si>
    <t xml:space="preserve">Type</t>
  </si>
  <si>
    <t xml:space="preserve">Ranking</t>
  </si>
  <si>
    <t xml:space="preserve">Commitment (£)</t>
  </si>
  <si>
    <t xml:space="preserve">Drawn at completion (£)</t>
  </si>
  <si>
    <t xml:space="preserve">Margin over SONIA</t>
  </si>
  <si>
    <t xml:space="preserve">Maturity</t>
  </si>
  <si>
    <t xml:space="preserve">Facility C</t>
  </si>
  <si>
    <t xml:space="preserve">Super-senior term loan</t>
  </si>
  <si>
    <t xml:space="preserve">1 (super-senior)</t>
  </si>
  <si>
    <t xml:space="preserve">31 Mar 2028</t>
  </si>
  <si>
    <t xml:space="preserve">Facility A</t>
  </si>
  <si>
    <t xml:space="preserve">Senior term loan</t>
  </si>
  <si>
    <t xml:space="preserve">2 (senior)</t>
  </si>
  <si>
    <t xml:space="preserve">14 Mar 2027</t>
  </si>
  <si>
    <t xml:space="preserve">Facility B (RCF)</t>
  </si>
  <si>
    <t xml:space="preserve">Revolving credit</t>
  </si>
  <si>
    <t xml:space="preserve">Total senior debt</t>
  </si>
  <si>
    <t xml:space="preserve">PIK margin on Facility A (capitalised quarterly)</t>
  </si>
  <si>
    <t xml:space="preserve">Pre-restructuring committed senior debt</t>
  </si>
  <si>
    <t xml:space="preserve">Pre-restructuring principal outstanding (5 Dec 2025)</t>
  </si>
  <si>
    <t xml:space="preserve">Reset Financial Covenants vs Forecast</t>
  </si>
  <si>
    <t xml:space="preserve">Net leverage = Net debt / LTM EBITDA. Headroom = covenant level less forecast (positive = compliant).</t>
  </si>
  <si>
    <t xml:space="preserve">Test date</t>
  </si>
  <si>
    <t xml:space="preserve">Covenant: Net leverage ≤</t>
  </si>
  <si>
    <t xml:space="preserve">Forecast net debt (£m)</t>
  </si>
  <si>
    <t xml:space="preserve">Forecast LTM EBITDA (£m)</t>
  </si>
  <si>
    <t xml:space="preserve">Forecast net leverage</t>
  </si>
  <si>
    <t xml:space="preserve">Leverage headroom</t>
  </si>
  <si>
    <t xml:space="preserve">Covenant: Int. cover ≥</t>
  </si>
  <si>
    <t xml:space="preserve">Forecast int. cover</t>
  </si>
  <si>
    <t xml:space="preserve">31 Mar 2026</t>
  </si>
  <si>
    <t xml:space="preserve">30 Jun 2026</t>
  </si>
  <si>
    <t xml:space="preserve">30 Sep 2026</t>
  </si>
  <si>
    <t xml:space="preserve">31 Dec 2026</t>
  </si>
  <si>
    <t xml:space="preserve">31 Mar 2027</t>
  </si>
  <si>
    <t xml:space="preserve">Note: covenants stepped per the executed A&amp;R Agreement (clause 7). Forecast from the Marlow IBR turnaround plan.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</si>
</sst>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.0%"/>
    <numFmt numFmtId="167" formatCode="0.00\x"/>
    <numFmt numFmtId="168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6000000</v>
      </c>
      <c r="E5" s="5" t="n">
        <v>6000000</v>
      </c>
      <c r="F5" s="6" t="n">
        <v>0.065</v>
      </c>
      <c r="G5" s="4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5" t="n">
        <v>30000000</v>
      </c>
      <c r="E6" s="5" t="n">
        <v>29750000</v>
      </c>
      <c r="F6" s="6" t="n">
        <v>0.0435</v>
      </c>
      <c r="G6" s="4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15</v>
      </c>
      <c r="D7" s="5" t="n">
        <v>12000000</v>
      </c>
      <c r="E7" s="5" t="n">
        <v>12000000</v>
      </c>
      <c r="F7" s="6" t="n">
        <v>0.0435</v>
      </c>
      <c r="G7" s="4" t="s">
        <v>16</v>
      </c>
    </row>
    <row r="8" customFormat="false" ht="15" hidden="false" customHeight="false" outlineLevel="0" collapsed="false">
      <c r="A8" s="7" t="s">
        <v>19</v>
      </c>
      <c r="D8" s="8" t="n">
        <f aca="false">SUM(D5:D7)</f>
        <v>48000000</v>
      </c>
      <c r="E8" s="8" t="n">
        <f aca="false">SUM(E5:E7)</f>
        <v>47750000</v>
      </c>
    </row>
    <row r="10" customFormat="false" ht="15" hidden="false" customHeight="false" outlineLevel="0" collapsed="false">
      <c r="A10" s="9" t="s">
        <v>20</v>
      </c>
      <c r="F10" s="10" t="n">
        <v>0.015</v>
      </c>
    </row>
    <row r="11" customFormat="false" ht="15" hidden="false" customHeight="false" outlineLevel="0" collapsed="false">
      <c r="A11" s="9" t="s">
        <v>21</v>
      </c>
      <c r="D11" s="11" t="n">
        <v>42000000</v>
      </c>
    </row>
    <row r="12" customFormat="false" ht="15" hidden="false" customHeight="false" outlineLevel="0" collapsed="false">
      <c r="A12" s="9" t="s">
        <v>22</v>
      </c>
      <c r="D12" s="11" t="n">
        <v>41750000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3.8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</row>
    <row r="5" customFormat="false" ht="15" hidden="false" customHeight="false" outlineLevel="0" collapsed="false">
      <c r="A5" s="4" t="s">
        <v>33</v>
      </c>
      <c r="B5" s="12" t="n">
        <v>5</v>
      </c>
      <c r="C5" s="13" t="n">
        <v>38.9</v>
      </c>
      <c r="D5" s="13" t="n">
        <v>7.8</v>
      </c>
      <c r="E5" s="14" t="n">
        <f aca="false">C5/D5</f>
        <v>4.98717948717949</v>
      </c>
      <c r="F5" s="14" t="n">
        <f aca="false">B5-E5</f>
        <v>0.0128205128205128</v>
      </c>
      <c r="G5" s="12" t="n">
        <v>1.75</v>
      </c>
      <c r="H5" s="12" t="n">
        <v>2.1</v>
      </c>
    </row>
    <row r="6" customFormat="false" ht="15" hidden="false" customHeight="false" outlineLevel="0" collapsed="false">
      <c r="A6" s="4" t="s">
        <v>34</v>
      </c>
      <c r="B6" s="12" t="n">
        <v>5</v>
      </c>
      <c r="C6" s="13" t="n">
        <v>38.1</v>
      </c>
      <c r="D6" s="13" t="n">
        <v>8</v>
      </c>
      <c r="E6" s="14" t="n">
        <f aca="false">C6/D6</f>
        <v>4.7625</v>
      </c>
      <c r="F6" s="14" t="n">
        <f aca="false">B6-E6</f>
        <v>0.2375</v>
      </c>
      <c r="G6" s="12" t="n">
        <v>2</v>
      </c>
      <c r="H6" s="12" t="n">
        <v>2.25</v>
      </c>
    </row>
    <row r="7" customFormat="false" ht="15" hidden="false" customHeight="false" outlineLevel="0" collapsed="false">
      <c r="A7" s="4" t="s">
        <v>35</v>
      </c>
      <c r="B7" s="12" t="n">
        <v>4.5</v>
      </c>
      <c r="C7" s="13" t="n">
        <v>36.8</v>
      </c>
      <c r="D7" s="13" t="n">
        <v>8.5</v>
      </c>
      <c r="E7" s="14" t="n">
        <f aca="false">C7/D7</f>
        <v>4.32941176470588</v>
      </c>
      <c r="F7" s="14" t="n">
        <f aca="false">B7-E7</f>
        <v>0.170588235294118</v>
      </c>
      <c r="G7" s="12" t="n">
        <v>2.25</v>
      </c>
      <c r="H7" s="12" t="n">
        <v>2.45</v>
      </c>
    </row>
    <row r="8" customFormat="false" ht="15" hidden="false" customHeight="false" outlineLevel="0" collapsed="false">
      <c r="A8" s="4" t="s">
        <v>36</v>
      </c>
      <c r="B8" s="12" t="n">
        <v>4</v>
      </c>
      <c r="C8" s="13" t="n">
        <v>35</v>
      </c>
      <c r="D8" s="13" t="n">
        <v>9</v>
      </c>
      <c r="E8" s="14" t="n">
        <f aca="false">C8/D8</f>
        <v>3.88888888888889</v>
      </c>
      <c r="F8" s="14" t="n">
        <f aca="false">B8-E8</f>
        <v>0.111111111111111</v>
      </c>
      <c r="G8" s="12" t="n">
        <v>2.5</v>
      </c>
      <c r="H8" s="12" t="n">
        <v>2.7</v>
      </c>
    </row>
    <row r="9" customFormat="false" ht="15" hidden="false" customHeight="false" outlineLevel="0" collapsed="false">
      <c r="A9" s="4" t="s">
        <v>37</v>
      </c>
      <c r="B9" s="12" t="n">
        <v>3.5</v>
      </c>
      <c r="C9" s="13" t="n">
        <v>32.5</v>
      </c>
      <c r="D9" s="13" t="n">
        <v>9.4</v>
      </c>
      <c r="E9" s="14" t="n">
        <f aca="false">C9/D9</f>
        <v>3.45744680851064</v>
      </c>
      <c r="F9" s="14" t="n">
        <f aca="false">B9-E9</f>
        <v>0.042553191489362</v>
      </c>
      <c r="G9" s="12" t="n">
        <v>3</v>
      </c>
      <c r="H9" s="12" t="n">
        <v>3.1</v>
      </c>
    </row>
    <row r="11" customFormat="false" ht="15" hidden="false" customHeight="false" outlineLevel="0" collapsed="false">
      <c r="A11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2026-06-28T07:25:05Z</dcterms:created>
  <dc:creator>openpyxl</dc:creator>
  <dc:description/>
  <dc:language>en-US</dc:language>
  <cp:lastModifiedBy/>
  <dcterms:modified xsi:type="dcterms:W3CDTF">2026-06-28T07:25:05Z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