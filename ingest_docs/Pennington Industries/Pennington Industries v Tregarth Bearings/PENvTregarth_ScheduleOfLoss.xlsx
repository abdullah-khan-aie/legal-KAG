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5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55555"/>
      <sz val="9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0" fontId="4" fillId="0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0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Pennington Industries Limited v Tregarth Bearings Limited</t>
        </is>
      </c>
    </row>
    <row r="2">
      <c r="A2" s="2" t="inlineStr">
        <is>
          <t>Claim No. BL-2025-000418  —  SCHEDULE OF LOSS (served with Particulars of Claim, 6 February 2025)</t>
        </is>
      </c>
    </row>
    <row r="3">
      <c r="A3" s="2" t="inlineStr">
        <is>
          <t>Defective TB-7208-HP spindle bearings — PX-180 / PX-220 centrifugal pumps. All figures exclude VAT.</t>
        </is>
      </c>
    </row>
    <row r="5">
      <c r="A5" s="3" t="inlineStr">
        <is>
          <t>Item</t>
        </is>
      </c>
      <c r="B5" s="3" t="inlineStr">
        <is>
          <t>Head of loss</t>
        </is>
      </c>
      <c r="C5" s="3" t="inlineStr">
        <is>
          <t>Basis / description</t>
        </is>
      </c>
      <c r="D5" s="3" t="inlineStr">
        <is>
          <t>Qty / units</t>
        </is>
      </c>
      <c r="E5" s="3" t="inlineStr">
        <is>
          <t>Unit (£)</t>
        </is>
      </c>
      <c r="F5" s="3" t="inlineStr">
        <is>
          <t>Amount (£)</t>
        </is>
      </c>
    </row>
    <row r="6">
      <c r="A6" s="4" t="inlineStr">
        <is>
          <t>1</t>
        </is>
      </c>
      <c r="B6" s="4" t="inlineStr">
        <is>
          <t>Recall, inspection &amp; rework of affected pumps</t>
        </is>
      </c>
      <c r="C6" s="5" t="inlineStr">
        <is>
          <t>Stripdown, replacement bearing fitment, re-test and re-certification of PX-180/PX-220 pumps (recall programme RP-2024-07)</t>
        </is>
      </c>
      <c r="D6" s="4" t="n">
        <v>711</v>
      </c>
      <c r="E6" s="6" t="n">
        <v>2000</v>
      </c>
      <c r="F6" s="6" t="n">
        <v>1422000</v>
      </c>
    </row>
    <row r="7">
      <c r="A7" s="4" t="inlineStr">
        <is>
          <t>1a</t>
        </is>
      </c>
      <c r="B7" s="4" t="inlineStr">
        <is>
          <t xml:space="preserve">  — labour (rework hours)</t>
        </is>
      </c>
      <c r="C7" s="5" t="inlineStr">
        <is>
          <t>Production &amp; test labour, 18,960 hrs @ £48.50</t>
        </is>
      </c>
      <c r="D7" s="4" t="n">
        <v>18960</v>
      </c>
      <c r="E7" s="6" t="n">
        <v>48.5</v>
      </c>
      <c r="F7" s="6">
        <f>D7*E7</f>
        <v/>
      </c>
    </row>
    <row r="8">
      <c r="A8" s="4" t="inlineStr">
        <is>
          <t>1b</t>
        </is>
      </c>
      <c r="B8" s="4" t="inlineStr">
        <is>
          <t xml:space="preserve">  — rig and facility time</t>
        </is>
      </c>
      <c r="C8" s="5" t="inlineStr">
        <is>
          <t>Test-rig occupancy and consumables</t>
        </is>
      </c>
      <c r="D8" s="4" t="n">
        <v>711</v>
      </c>
      <c r="E8" s="6" t="n">
        <v>700</v>
      </c>
      <c r="F8" s="6">
        <f>D8*E8</f>
        <v/>
      </c>
    </row>
    <row r="9">
      <c r="A9" s="4" t="inlineStr">
        <is>
          <t>2</t>
        </is>
      </c>
      <c r="B9" s="4" t="inlineStr">
        <is>
          <t>Replacement bearings &amp; expedited carriage</t>
        </is>
      </c>
      <c r="C9" s="5" t="inlineStr">
        <is>
          <t>Conforming bearings from Northvale Metals Limited, 1,238 units @ £228.30 incl. premium + carriage</t>
        </is>
      </c>
      <c r="D9" s="4" t="n">
        <v>1238</v>
      </c>
      <c r="E9" s="6" t="n">
        <v>229.42</v>
      </c>
      <c r="F9" s="6" t="n">
        <v>284040</v>
      </c>
    </row>
    <row r="10">
      <c r="A10" s="4" t="inlineStr">
        <is>
          <t>3</t>
        </is>
      </c>
      <c r="B10" s="4" t="inlineStr">
        <is>
          <t>Customer credits, LDs &amp; contractual remedies</t>
        </is>
      </c>
      <c r="C10" s="5" t="inlineStr">
        <is>
          <t>Credits and liquidated damages paid to municipal water customers under supply contracts</t>
        </is>
      </c>
      <c r="D10" s="4" t="inlineStr"/>
      <c r="E10" s="6" t="inlineStr"/>
      <c r="F10" s="6" t="n">
        <v>512000</v>
      </c>
    </row>
    <row r="11">
      <c r="A11" s="4" t="inlineStr">
        <is>
          <t>4</t>
        </is>
      </c>
      <c r="B11" s="4" t="inlineStr">
        <is>
          <t>Metallurgical investigation &amp; expert costs</t>
        </is>
      </c>
      <c r="C11" s="5" t="inlineStr">
        <is>
          <t>Argent Metallurgical Services failure analysis and CPR 35 report</t>
        </is>
      </c>
      <c r="D11" s="4" t="inlineStr"/>
      <c r="E11" s="6" t="inlineStr"/>
      <c r="F11" s="6" t="n">
        <v>74600</v>
      </c>
    </row>
    <row r="12">
      <c r="A12" s="4" t="inlineStr">
        <is>
          <t>5</t>
        </is>
      </c>
      <c r="B12" s="4" t="inlineStr">
        <is>
          <t>Wasted management &amp; engineering time</t>
        </is>
      </c>
      <c r="C12" s="5" t="inlineStr">
        <is>
          <t>Diverted management/engineering time on investigation &amp; recall, 2,520 hrs @ £50.00</t>
        </is>
      </c>
      <c r="D12" s="4" t="n">
        <v>2520</v>
      </c>
      <c r="E12" s="6" t="n">
        <v>50</v>
      </c>
      <c r="F12" s="6" t="n">
        <v>126000</v>
      </c>
    </row>
    <row r="13">
      <c r="A13" s="4" t="n"/>
      <c r="B13" s="7" t="inlineStr">
        <is>
          <t>TOTAL CLAIMED</t>
        </is>
      </c>
      <c r="C13" s="4" t="n"/>
      <c r="D13" s="4" t="n"/>
      <c r="E13" s="4" t="n"/>
      <c r="F13" s="8">
        <f>F6+F9+F10+F11+F12</f>
        <v/>
      </c>
    </row>
    <row r="15">
      <c r="B15" s="2" t="inlineStr">
        <is>
          <t>Plus interest pursuant to s.35A Senior Courts Act 1981 (to be assessed).</t>
        </is>
      </c>
    </row>
    <row r="16">
      <c r="B16" s="2" t="inlineStr">
        <is>
          <t>Note: items 1a/1b are an illustrative breakdown of the recall labour/rig component of item 1 and are not separately added.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2026-06-28T10:21:05Z</dcterms:created>
  <dcterms:modified xmlns:dcterms="http://purl.org/dc/terms/" xmlns:xsi="http://www.w3.org/2001/XMLSchema-instance" xsi:type="dcterms:W3CDTF">2026-06-28T10:21:05Z</dcterms:modified>
</cp:coreProperties>
</file>