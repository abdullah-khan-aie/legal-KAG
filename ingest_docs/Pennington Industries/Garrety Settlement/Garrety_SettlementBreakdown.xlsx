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<sst xmlns="http://schemas.openxmlformats.org/spreadsheetml/2006/main" count="28" uniqueCount="27">
  <si>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Garrety Settlement — payment breakdown and tax treatment (final / executed)</t>
  </si>
  <si>
    <t xml:space="preserve">Pennington Industries Limited — settlement agreement dated 7 May 2025; EDT 9 May 2025</t>
  </si>
  <si>
    <t xml:space="preserve">Inputs</t>
  </si>
  <si>
    <t xml:space="preserve">Annual basic salary</t>
  </si>
  <si>
    <t xml:space="preserve">Tax-free threshold (s.403 ITEPA)</t>
  </si>
  <si>
    <t xml:space="preserve">Assumed marginal income tax rate</t>
  </si>
  <si>
    <t xml:space="preserve">Employee NIC rate on PILON (above UEL)</t>
  </si>
  <si>
    <t xml:space="preserve">Employer NIC rate</t>
  </si>
  <si>
    <t xml:space="preserve">Payment</t>
  </si>
  <si>
    <t xml:space="preserve">Gross (£)</t>
  </si>
  <si>
    <t xml:space="preserve">Taxable?</t>
  </si>
  <si>
    <t xml:space="preserve">Tax/NIC deducted (£)</t>
  </si>
  <si>
    <t xml:space="preserve">Net to employee (£)</t>
  </si>
  <si>
    <t xml:space="preserve">Payment in lieu of notice (12 months) — PENP, fully taxable</t>
  </si>
  <si>
    <t xml:space="preserve">Yes (income tax + EE NIC)</t>
  </si>
  <si>
    <t xml:space="preserve">Statutory redundancy payment</t>
  </si>
  <si>
    <t xml:space="preserve">No (tax-free)</t>
  </si>
  <si>
    <t xml:space="preserve">Ex-gratia compensation payment</t>
  </si>
  <si>
    <t xml:space="preserve">First £30k tax-free, balance taxed</t>
  </si>
  <si>
    <t xml:space="preserve">Accrued holiday (5.5 days)</t>
  </si>
  <si>
    <t xml:space="preserve">TOTAL to employee</t>
  </si>
  <si>
    <t xml:space="preserve">Employer cost summary</t>
  </si>
  <si>
    <t xml:space="preserve">Gross payments to employee</t>
  </si>
  <si>
    <t xml:space="preserve">Employer NIC on taxable elements</t>
  </si>
  <si>
    <t xml:space="preserve">Legal fees contribution (plus VAT)</t>
  </si>
  <si>
    <t xml:space="preserve">Outplacement support (max, plus VAT)</t>
  </si>
  <si>
    <t xml:space="preserve">TOTAL EMPLOYER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</si>
</sst>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0F0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5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148000</v>
      </c>
    </row>
    <row r="6" customFormat="false" ht="15" hidden="false" customHeight="false" outlineLevel="0" collapsed="false">
      <c r="A6" s="5" t="s">
        <v>4</v>
      </c>
      <c r="B6" s="6" t="n">
        <v>30000</v>
      </c>
    </row>
    <row r="7" customFormat="false" ht="15" hidden="false" customHeight="false" outlineLevel="0" collapsed="false">
      <c r="A7" s="5" t="s">
        <v>5</v>
      </c>
      <c r="B7" s="7" t="n">
        <v>0.45</v>
      </c>
    </row>
    <row r="8" customFormat="false" ht="15" hidden="false" customHeight="false" outlineLevel="0" collapsed="false">
      <c r="A8" s="5" t="s">
        <v>6</v>
      </c>
      <c r="B8" s="7" t="n">
        <v>0.02</v>
      </c>
    </row>
    <row r="9" customFormat="false" ht="15" hidden="false" customHeight="false" outlineLevel="0" collapsed="false">
      <c r="A9" s="5" t="s">
        <v>7</v>
      </c>
      <c r="B9" s="7" t="n">
        <v>0.138</v>
      </c>
    </row>
    <row r="11" customFormat="false" ht="15" hidden="false" customHeight="false" outlineLevel="0" collapsed="false">
      <c r="A11" s="8" t="s">
        <v>8</v>
      </c>
      <c r="B11" s="8" t="s">
        <v>9</v>
      </c>
      <c r="C11" s="8" t="s">
        <v>10</v>
      </c>
      <c r="D11" s="8" t="s">
        <v>11</v>
      </c>
      <c r="E11" s="8" t="s">
        <v>12</v>
      </c>
    </row>
    <row r="12" customFormat="false" ht="15" hidden="false" customHeight="false" outlineLevel="0" collapsed="false">
      <c r="A12" s="5" t="s">
        <v>13</v>
      </c>
      <c r="B12" s="9" t="n">
        <f aca="false">B5</f>
        <v>148000</v>
      </c>
      <c r="C12" s="10" t="s">
        <v>14</v>
      </c>
      <c r="D12" s="9" t="n">
        <f aca="false">B12*B7+B12*B8</f>
        <v>69560</v>
      </c>
      <c r="E12" s="9" t="n">
        <f aca="false">B12-D12</f>
        <v>78440</v>
      </c>
    </row>
    <row r="13" customFormat="false" ht="15" hidden="false" customHeight="false" outlineLevel="0" collapsed="false">
      <c r="A13" s="5" t="s">
        <v>15</v>
      </c>
      <c r="B13" s="6" t="n">
        <v>9330</v>
      </c>
      <c r="C13" s="10" t="s">
        <v>16</v>
      </c>
      <c r="D13" s="9" t="n">
        <v>0</v>
      </c>
      <c r="E13" s="9" t="n">
        <f aca="false">B13-D13</f>
        <v>9330</v>
      </c>
    </row>
    <row r="14" customFormat="false" ht="15" hidden="false" customHeight="false" outlineLevel="0" collapsed="false">
      <c r="A14" s="5" t="s">
        <v>17</v>
      </c>
      <c r="B14" s="6" t="n">
        <v>95000</v>
      </c>
      <c r="C14" s="10" t="s">
        <v>18</v>
      </c>
      <c r="D14" s="9" t="n">
        <f aca="false">(B14-B6)*B7</f>
        <v>29250</v>
      </c>
      <c r="E14" s="9" t="n">
        <f aca="false">B14-D14</f>
        <v>65750</v>
      </c>
    </row>
    <row r="15" customFormat="false" ht="15" hidden="false" customHeight="false" outlineLevel="0" collapsed="false">
      <c r="A15" s="5" t="s">
        <v>19</v>
      </c>
      <c r="B15" s="6" t="n">
        <v>3132</v>
      </c>
      <c r="C15" s="10" t="s">
        <v>14</v>
      </c>
      <c r="D15" s="9" t="n">
        <f aca="false">B15*B7+B15*B8</f>
        <v>1472.04</v>
      </c>
      <c r="E15" s="9" t="n">
        <f aca="false">B15-D15</f>
        <v>1659.96</v>
      </c>
    </row>
    <row r="16" customFormat="false" ht="15" hidden="false" customHeight="false" outlineLevel="0" collapsed="false">
      <c r="A16" s="11" t="s">
        <v>20</v>
      </c>
      <c r="B16" s="12" t="n">
        <f aca="false">SUM(B12:B15)</f>
        <v>255462</v>
      </c>
      <c r="C16" s="13"/>
      <c r="D16" s="12" t="n">
        <f aca="false">SUM(D12:D15)</f>
        <v>100282.04</v>
      </c>
      <c r="E16" s="12" t="n">
        <f aca="false">SUM(E12:E15)</f>
        <v>155179.96</v>
      </c>
    </row>
    <row r="18" customFormat="false" ht="15" hidden="false" customHeight="false" outlineLevel="0" collapsed="false">
      <c r="A18" s="3" t="s">
        <v>21</v>
      </c>
      <c r="B18" s="4"/>
    </row>
    <row r="19" customFormat="false" ht="15" hidden="false" customHeight="false" outlineLevel="0" collapsed="false">
      <c r="A19" s="14" t="s">
        <v>22</v>
      </c>
      <c r="B19" s="15" t="n">
        <f aca="false">B16</f>
        <v>255462</v>
      </c>
    </row>
    <row r="20" customFormat="false" ht="15" hidden="false" customHeight="false" outlineLevel="0" collapsed="false">
      <c r="A20" s="14" t="s">
        <v>23</v>
      </c>
      <c r="B20" s="15" t="n">
        <f aca="false">(B12+B14-B6+B15)*B9</f>
        <v>29826.216</v>
      </c>
    </row>
    <row r="21" customFormat="false" ht="15" hidden="false" customHeight="false" outlineLevel="0" collapsed="false">
      <c r="A21" s="14" t="s">
        <v>24</v>
      </c>
      <c r="B21" s="16" t="n">
        <v>2500</v>
      </c>
    </row>
    <row r="22" customFormat="false" ht="15" hidden="false" customHeight="false" outlineLevel="0" collapsed="false">
      <c r="A22" s="14" t="s">
        <v>25</v>
      </c>
      <c r="B22" s="16" t="n">
        <v>5000</v>
      </c>
    </row>
    <row r="23" customFormat="false" ht="15" hidden="false" customHeight="false" outlineLevel="0" collapsed="false">
      <c r="A23" s="17" t="s">
        <v>26</v>
      </c>
      <c r="B23" s="18" t="n">
        <f aca="false">SUM(B19:B22)</f>
        <v>292788.216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2026-06-30T11:17:13Z</dcterms:created>
  <dc:creator>openpyxl</dc:creator>
  <dc:description/>
  <dc:language>en-US</dc:language>
  <cp:lastModifiedBy/>
  <dcterms:modified xsi:type="dcterms:W3CDTF">2026-06-30T11:17:13Z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