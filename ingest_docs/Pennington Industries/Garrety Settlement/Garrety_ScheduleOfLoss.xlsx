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<sst xmlns="http://schemas.openxmlformats.org/spreadsheetml/2006/main" count="31" uniqueCount="31">
  <si>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Garrety v Pennington Industries Limited — Schedule of Loss (claimant's case)</t>
  </si>
  <si>
    <t xml:space="preserve">Prepared by Birchall Stone LLP — figures as at hearing assumed Q4 2025 (illustrative)</t>
  </si>
  <si>
    <t xml:space="preserve">Key inputs</t>
  </si>
  <si>
    <t xml:space="preserve">Gross annual basic salary</t>
  </si>
  <si>
    <t xml:space="preserve">Gross annual package (incl. benefits/pension/car)</t>
  </si>
  <si>
    <t xml:space="preserve">Net monthly pay (approx.)</t>
  </si>
  <si>
    <t xml:space="preserve">Age at EDT</t>
  </si>
  <si>
    <t xml:space="preserve">Complete years' service</t>
  </si>
  <si>
    <t xml:space="preserve">Statutory week's pay cap (2025)</t>
  </si>
  <si>
    <t xml:space="preserve">Head of loss</t>
  </si>
  <si>
    <t xml:space="preserve">Basis</t>
  </si>
  <si>
    <t xml:space="preserve">Amount (£)</t>
  </si>
  <si>
    <t xml:space="preserve">Basic award</t>
  </si>
  <si>
    <t xml:space="preserve">13 yrs x 1.5 (age&gt;41) x week's pay (capped)</t>
  </si>
  <si>
    <t xml:space="preserve">Past loss of earnings (net) — 6 months to hearing</t>
  </si>
  <si>
    <t xml:space="preserve">6 x net monthly pay</t>
  </si>
  <si>
    <t xml:space="preserve">Future loss of earnings (net) — 12 months</t>
  </si>
  <si>
    <t xml:space="preserve">12 x net monthly pay</t>
  </si>
  <si>
    <t xml:space="preserve">Loss of pension contributions (18 months)</t>
  </si>
  <si>
    <t xml:space="preserve">8% of basic x 1.5 yrs</t>
  </si>
  <si>
    <t xml:space="preserve">Loss of benefits (PMI, car, life) 18 months</t>
  </si>
  <si>
    <t xml:space="preserve">(package-basic) x 1.5 yrs</t>
  </si>
  <si>
    <t xml:space="preserve">Injury to feelings (Vento middle band)</t>
  </si>
  <si>
    <t xml:space="preserve">discrimination / detriment</t>
  </si>
  <si>
    <t xml:space="preserve">Loss of statutory rights</t>
  </si>
  <si>
    <t xml:space="preserve">conventional award</t>
  </si>
  <si>
    <t xml:space="preserve">Sub-total (compensatory + basic)</t>
  </si>
  <si>
    <t xml:space="preserve">Uplift for ACAS Code breach (up to 25%) — claimed at</t>
  </si>
  <si>
    <t xml:space="preserve">applied to compensatory element</t>
  </si>
  <si>
    <t xml:space="preserve">Uplift amount</t>
  </si>
  <si>
    <t xml:space="preserve">TOTAL CLAIMED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</si>
</sst>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#,##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0F0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5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v>148000</v>
      </c>
    </row>
    <row r="6" customFormat="false" ht="15" hidden="false" customHeight="false" outlineLevel="0" collapsed="false">
      <c r="A6" s="5" t="s">
        <v>4</v>
      </c>
      <c r="B6" s="6" t="n">
        <v>190000</v>
      </c>
    </row>
    <row r="7" customFormat="false" ht="15" hidden="false" customHeight="false" outlineLevel="0" collapsed="false">
      <c r="A7" s="5" t="s">
        <v>5</v>
      </c>
      <c r="B7" s="6" t="n">
        <v>8100</v>
      </c>
    </row>
    <row r="8" customFormat="false" ht="15" hidden="false" customHeight="false" outlineLevel="0" collapsed="false">
      <c r="A8" s="5" t="s">
        <v>6</v>
      </c>
      <c r="B8" s="7" t="n">
        <v>58</v>
      </c>
    </row>
    <row r="9" customFormat="false" ht="15" hidden="false" customHeight="false" outlineLevel="0" collapsed="false">
      <c r="A9" s="5" t="s">
        <v>7</v>
      </c>
      <c r="B9" s="7" t="n">
        <v>13</v>
      </c>
    </row>
    <row r="10" customFormat="false" ht="15" hidden="false" customHeight="false" outlineLevel="0" collapsed="false">
      <c r="A10" s="5" t="s">
        <v>8</v>
      </c>
      <c r="B10" s="7" t="n">
        <v>700</v>
      </c>
    </row>
    <row r="12" customFormat="false" ht="15" hidden="false" customHeight="false" outlineLevel="0" collapsed="false">
      <c r="A12" s="3" t="s">
        <v>9</v>
      </c>
      <c r="B12" s="3" t="s">
        <v>10</v>
      </c>
      <c r="C12" s="3" t="s">
        <v>11</v>
      </c>
    </row>
    <row r="13" customFormat="false" ht="15" hidden="false" customHeight="false" outlineLevel="0" collapsed="false">
      <c r="A13" s="5" t="s">
        <v>12</v>
      </c>
      <c r="B13" s="8" t="s">
        <v>13</v>
      </c>
      <c r="C13" s="9" t="n">
        <f aca="false">B10*13*1.5</f>
        <v>13650</v>
      </c>
    </row>
    <row r="14" customFormat="false" ht="15" hidden="false" customHeight="false" outlineLevel="0" collapsed="false">
      <c r="A14" s="5" t="s">
        <v>14</v>
      </c>
      <c r="B14" s="8" t="s">
        <v>15</v>
      </c>
      <c r="C14" s="9" t="n">
        <f aca="false">B7*6</f>
        <v>48600</v>
      </c>
    </row>
    <row r="15" customFormat="false" ht="15" hidden="false" customHeight="false" outlineLevel="0" collapsed="false">
      <c r="A15" s="5" t="s">
        <v>16</v>
      </c>
      <c r="B15" s="8" t="s">
        <v>17</v>
      </c>
      <c r="C15" s="9" t="n">
        <f aca="false">B7*12</f>
        <v>97200</v>
      </c>
    </row>
    <row r="16" customFormat="false" ht="15" hidden="false" customHeight="false" outlineLevel="0" collapsed="false">
      <c r="A16" s="5" t="s">
        <v>18</v>
      </c>
      <c r="B16" s="8" t="s">
        <v>19</v>
      </c>
      <c r="C16" s="9" t="n">
        <f aca="false">B5*0.08*1.5</f>
        <v>17760</v>
      </c>
    </row>
    <row r="17" customFormat="false" ht="15" hidden="false" customHeight="false" outlineLevel="0" collapsed="false">
      <c r="A17" s="5" t="s">
        <v>20</v>
      </c>
      <c r="B17" s="8" t="s">
        <v>21</v>
      </c>
      <c r="C17" s="9" t="n">
        <f aca="false">(B6-B5)*1.5</f>
        <v>63000</v>
      </c>
    </row>
    <row r="18" customFormat="false" ht="15" hidden="false" customHeight="false" outlineLevel="0" collapsed="false">
      <c r="A18" s="5" t="s">
        <v>22</v>
      </c>
      <c r="B18" s="8" t="s">
        <v>23</v>
      </c>
      <c r="C18" s="6" t="n">
        <v>25000</v>
      </c>
    </row>
    <row r="19" customFormat="false" ht="15" hidden="false" customHeight="false" outlineLevel="0" collapsed="false">
      <c r="A19" s="5" t="s">
        <v>24</v>
      </c>
      <c r="B19" s="8" t="s">
        <v>25</v>
      </c>
      <c r="C19" s="6" t="n">
        <v>600</v>
      </c>
    </row>
    <row r="20" customFormat="false" ht="15" hidden="false" customHeight="false" outlineLevel="0" collapsed="false">
      <c r="A20" s="10" t="s">
        <v>26</v>
      </c>
      <c r="B20" s="11"/>
      <c r="C20" s="12" t="n">
        <f aca="false">SUM(C13:C19)</f>
        <v>265810</v>
      </c>
    </row>
    <row r="21" customFormat="false" ht="15" hidden="false" customHeight="false" outlineLevel="0" collapsed="false">
      <c r="A21" s="5" t="s">
        <v>27</v>
      </c>
      <c r="B21" s="8" t="s">
        <v>28</v>
      </c>
      <c r="C21" s="13" t="n">
        <v>0.1</v>
      </c>
    </row>
    <row r="22" customFormat="false" ht="15" hidden="false" customHeight="false" outlineLevel="0" collapsed="false">
      <c r="A22" s="5" t="s">
        <v>29</v>
      </c>
      <c r="B22" s="14"/>
      <c r="C22" s="9" t="n">
        <f aca="false">C20*C21</f>
        <v>26581</v>
      </c>
    </row>
    <row r="23" customFormat="false" ht="15" hidden="false" customHeight="false" outlineLevel="0" collapsed="false">
      <c r="A23" s="15" t="s">
        <v>30</v>
      </c>
      <c r="B23" s="16"/>
      <c r="C23" s="17" t="n">
        <f aca="false">C20+C22</f>
        <v>292391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2026-06-30T11:17:13Z</dcterms:created>
  <dc:creator>openpyxl</dc:creator>
  <dc:description/>
  <dc:language>en-US</dc:language>
  <cp:lastModifiedBy/>
  <dcterms:modified xsi:type="dcterms:W3CDTF">2026-06-30T11:17:13Z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