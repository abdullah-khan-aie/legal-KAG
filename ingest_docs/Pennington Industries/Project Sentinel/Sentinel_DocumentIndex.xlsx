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<sst xmlns="http://schemas.openxmlformats.org/spreadsheetml/2006/main" count="132" uniqueCount="102">
  <si>
    <t xml:space="preserve">Project Sentinel (WC-00149) — Document &amp; Information Index</t>
  </si>
  <si>
    <t xml:space="preserve">Pennington Industries Limited — HSE investigation (incident 14 January 2026). Index of documents held / provided to HSE.</t>
  </si>
  <si>
    <t xml:space="preserve">Ref</t>
  </si>
  <si>
    <t xml:space="preserve">Date</t>
  </si>
  <si>
    <t xml:space="preserve">Document</t>
  </si>
  <si>
    <t xml:space="preserve">Type</t>
  </si>
  <si>
    <t xml:space="preserve">Author / Source</t>
  </si>
  <si>
    <t xml:space="preserve">Provided to HSE?</t>
  </si>
  <si>
    <t xml:space="preserve">Privilege status</t>
  </si>
  <si>
    <t xml:space="preserve">Location / Bundle</t>
  </si>
  <si>
    <t xml:space="preserve">S-001</t>
  </si>
  <si>
    <t xml:space="preserve">14/01/2026</t>
  </si>
  <si>
    <t xml:space="preserve">RIDDOR report F2508</t>
  </si>
  <si>
    <t xml:space="preserve">Statutory form</t>
  </si>
  <si>
    <t xml:space="preserve">SHEQ Manager</t>
  </si>
  <si>
    <t xml:space="preserve">Yes</t>
  </si>
  <si>
    <t xml:space="preserve">Not privileged</t>
  </si>
  <si>
    <t xml:space="preserve">HSE bundle A1</t>
  </si>
  <si>
    <t xml:space="preserve">S-002</t>
  </si>
  <si>
    <t xml:space="preserve">16/01/2026</t>
  </si>
  <si>
    <t xml:space="preserve">Prohibition Notice (PT-DB-07)</t>
  </si>
  <si>
    <t xml:space="preserve">HSE notice</t>
  </si>
  <si>
    <t xml:space="preserve">HSE (K. Whitlow)</t>
  </si>
  <si>
    <t xml:space="preserve">N/A (served)</t>
  </si>
  <si>
    <t xml:space="preserve">HSE bundle A2</t>
  </si>
  <si>
    <t xml:space="preserve">S-003</t>
  </si>
  <si>
    <t xml:space="preserve">05/02/2026</t>
  </si>
  <si>
    <t xml:space="preserve">Improvement Notice (guarding maintenance)</t>
  </si>
  <si>
    <t xml:space="preserve">HSE bundle A3</t>
  </si>
  <si>
    <t xml:space="preserve">S-004</t>
  </si>
  <si>
    <t xml:space="preserve">2014</t>
  </si>
  <si>
    <t xml:space="preserve">PT-DB-07 machine manual &amp; CE declaration</t>
  </si>
  <si>
    <t xml:space="preserve">OEM document</t>
  </si>
  <si>
    <t xml:space="preserve">Machine OEM</t>
  </si>
  <si>
    <t xml:space="preserve">DD bundle B1</t>
  </si>
  <si>
    <t xml:space="preserve">S-005</t>
  </si>
  <si>
    <t xml:space="preserve">09/03/2025</t>
  </si>
  <si>
    <t xml:space="preserve">PT-DB-07 interlock function-test record</t>
  </si>
  <si>
    <t xml:space="preserve">Maintenance record</t>
  </si>
  <si>
    <t xml:space="preserve">Maintenance Supvr</t>
  </si>
  <si>
    <t xml:space="preserve">DD bundle B2</t>
  </si>
  <si>
    <t xml:space="preserve">S-006</t>
  </si>
  <si>
    <t xml:space="preserve">Various</t>
  </si>
  <si>
    <t xml:space="preserve">PPM schedule &amp; overdue-task log (Jul–Dec 2025)</t>
  </si>
  <si>
    <t xml:space="preserve">CMMS export</t>
  </si>
  <si>
    <t xml:space="preserve">DD bundle B3</t>
  </si>
  <si>
    <t xml:space="preserve">S-007</t>
  </si>
  <si>
    <t xml:space="preserve">June 2025</t>
  </si>
  <si>
    <t xml:space="preserve">Swarf-clearance toolbox talk &amp; attendance</t>
  </si>
  <si>
    <t xml:space="preserve">Training record</t>
  </si>
  <si>
    <t xml:space="preserve">SHEQ</t>
  </si>
  <si>
    <t xml:space="preserve">DD bundle B4</t>
  </si>
  <si>
    <t xml:space="preserve">S-008</t>
  </si>
  <si>
    <t xml:space="preserve">06/02/2026</t>
  </si>
  <si>
    <t xml:space="preserve">Internal Investigation Report</t>
  </si>
  <si>
    <t xml:space="preserve">Internal report</t>
  </si>
  <si>
    <t xml:space="preserve">WC / Tom Gallagher</t>
  </si>
  <si>
    <t xml:space="preserve">No</t>
  </si>
  <si>
    <t xml:space="preserve">Privileged (legal advice)</t>
  </si>
  <si>
    <t xml:space="preserve">WC file C1</t>
  </si>
  <si>
    <t xml:space="preserve">S-009</t>
  </si>
  <si>
    <t xml:space="preserve">27/02/2026</t>
  </si>
  <si>
    <t xml:space="preserve">Witness statement — Derek Fenn (Plant Manager)</t>
  </si>
  <si>
    <t xml:space="preserve">Witness statement</t>
  </si>
  <si>
    <t xml:space="preserve">WC</t>
  </si>
  <si>
    <t xml:space="preserve">Provided (open)</t>
  </si>
  <si>
    <t xml:space="preserve">HSE bundle A4</t>
  </si>
  <si>
    <t xml:space="preserve">S-010</t>
  </si>
  <si>
    <t xml:space="preserve">18/03/2026</t>
  </si>
  <si>
    <t xml:space="preserve">Forensic engineering report — interlock failure</t>
  </si>
  <si>
    <t xml:space="preserve">Expert report</t>
  </si>
  <si>
    <t xml:space="preserve">Wraysbury Materials Lab</t>
  </si>
  <si>
    <t xml:space="preserve">Yes (when final)</t>
  </si>
  <si>
    <t xml:space="preserve">Expert bundle D1</t>
  </si>
  <si>
    <t xml:space="preserve">S-011</t>
  </si>
  <si>
    <t xml:space="preserve">20/03/2026</t>
  </si>
  <si>
    <t xml:space="preserve">Sentencing exposure advice note</t>
  </si>
  <si>
    <t xml:space="preserve">Legal advice</t>
  </si>
  <si>
    <t xml:space="preserve">WC / Counsel</t>
  </si>
  <si>
    <t xml:space="preserve">WC file C2</t>
  </si>
  <si>
    <t xml:space="preserve">S-012</t>
  </si>
  <si>
    <t xml:space="preserve">24/02/2026</t>
  </si>
  <si>
    <t xml:space="preserve">Remediation Action Plan &amp; Undertakings (v2 redline)</t>
  </si>
  <si>
    <t xml:space="preserve">Undertaking</t>
  </si>
  <si>
    <t xml:space="preserve">Pennington / WC</t>
  </si>
  <si>
    <t xml:space="preserve">HSE bundle A5</t>
  </si>
  <si>
    <t xml:space="preserve">S-013</t>
  </si>
  <si>
    <t xml:space="preserve">02/04/2026</t>
  </si>
  <si>
    <t xml:space="preserve">Remediation Action Plan &amp; Undertakings (executed)</t>
  </si>
  <si>
    <t xml:space="preserve">Pennington</t>
  </si>
  <si>
    <t xml:space="preserve">S-014</t>
  </si>
  <si>
    <t xml:space="preserve">31/03/2026</t>
  </si>
  <si>
    <t xml:space="preserve">Guarding &amp; interlock audit summary</t>
  </si>
  <si>
    <t xml:space="preserve">Audit report</t>
  </si>
  <si>
    <t xml:space="preserve">Independent auditor</t>
  </si>
  <si>
    <t xml:space="preserve">Expert bundle D2</t>
  </si>
  <si>
    <t xml:space="preserve">S-015</t>
  </si>
  <si>
    <t xml:space="preserve">Operator training records — W. Tasker</t>
  </si>
  <si>
    <t xml:space="preserve">HR</t>
  </si>
  <si>
    <t xml:space="preserve">DD bundle B5</t>
  </si>
  <si>
    <t xml:space="preserve">Total documents indexed</t>
  </si>
  <si>
    <t xml:space="preserve">Of which privileged (withheld)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</si>
</sst>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A7B"/>
        <bgColor rgb="FF555555"/>
      </patternFill>
    </fill>
    <fill>
      <patternFill patternType="solid">
        <fgColor rgb="FFFBE4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B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4A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1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16</v>
      </c>
      <c r="H6" s="4" t="s">
        <v>24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21</v>
      </c>
      <c r="E7" s="4" t="s">
        <v>22</v>
      </c>
      <c r="F7" s="4" t="s">
        <v>23</v>
      </c>
      <c r="G7" s="4" t="s">
        <v>16</v>
      </c>
      <c r="H7" s="4" t="s">
        <v>28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15</v>
      </c>
      <c r="G8" s="4" t="s">
        <v>16</v>
      </c>
      <c r="H8" s="4" t="s">
        <v>34</v>
      </c>
    </row>
    <row r="9" customFormat="false" ht="15" hidden="false" customHeight="fals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15</v>
      </c>
      <c r="G9" s="4" t="s">
        <v>16</v>
      </c>
      <c r="H9" s="4" t="s">
        <v>40</v>
      </c>
    </row>
    <row r="10" customFormat="false" ht="26.85" hidden="false" customHeight="false" outlineLevel="0" collapsed="false">
      <c r="A10" s="4" t="s">
        <v>41</v>
      </c>
      <c r="B10" s="4" t="s">
        <v>42</v>
      </c>
      <c r="C10" s="4" t="s">
        <v>43</v>
      </c>
      <c r="D10" s="4" t="s">
        <v>38</v>
      </c>
      <c r="E10" s="4" t="s">
        <v>44</v>
      </c>
      <c r="F10" s="4" t="s">
        <v>15</v>
      </c>
      <c r="G10" s="4" t="s">
        <v>16</v>
      </c>
      <c r="H10" s="4" t="s">
        <v>45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15</v>
      </c>
      <c r="G11" s="4" t="s">
        <v>16</v>
      </c>
      <c r="H11" s="4" t="s">
        <v>51</v>
      </c>
    </row>
    <row r="12" customFormat="false" ht="26.85" hidden="false" customHeight="false" outlineLevel="0" collapsed="false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</row>
    <row r="13" customFormat="false" ht="26.85" hidden="false" customHeight="false" outlineLevel="0" collapsed="false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16</v>
      </c>
      <c r="H13" s="4" t="s">
        <v>66</v>
      </c>
    </row>
    <row r="14" customFormat="false" ht="26.85" hidden="false" customHeight="false" outlineLevel="0" collapsed="false">
      <c r="A14" s="4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16</v>
      </c>
      <c r="H14" s="4" t="s">
        <v>73</v>
      </c>
    </row>
    <row r="15" customFormat="false" ht="26.85" hidden="false" customHeight="false" outlineLevel="0" collapsed="false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57</v>
      </c>
      <c r="G15" s="5" t="s">
        <v>58</v>
      </c>
      <c r="H15" s="5" t="s">
        <v>79</v>
      </c>
    </row>
    <row r="16" customFormat="false" ht="26.85" hidden="false" customHeight="false" outlineLevel="0" collapsed="false">
      <c r="A16" s="4" t="s">
        <v>80</v>
      </c>
      <c r="B16" s="4" t="s">
        <v>81</v>
      </c>
      <c r="C16" s="4" t="s">
        <v>82</v>
      </c>
      <c r="D16" s="4" t="s">
        <v>83</v>
      </c>
      <c r="E16" s="4" t="s">
        <v>84</v>
      </c>
      <c r="F16" s="4" t="s">
        <v>15</v>
      </c>
      <c r="G16" s="4" t="s">
        <v>16</v>
      </c>
      <c r="H16" s="4" t="s">
        <v>85</v>
      </c>
    </row>
    <row r="17" customFormat="false" ht="26.85" hidden="false" customHeight="false" outlineLevel="0" collapsed="false">
      <c r="A17" s="4" t="s">
        <v>86</v>
      </c>
      <c r="B17" s="4" t="s">
        <v>87</v>
      </c>
      <c r="C17" s="4" t="s">
        <v>88</v>
      </c>
      <c r="D17" s="4" t="s">
        <v>83</v>
      </c>
      <c r="E17" s="4" t="s">
        <v>89</v>
      </c>
      <c r="F17" s="4" t="s">
        <v>15</v>
      </c>
      <c r="G17" s="4" t="s">
        <v>16</v>
      </c>
      <c r="H17" s="4" t="s">
        <v>85</v>
      </c>
    </row>
    <row r="18" customFormat="false" ht="15" hidden="false" customHeight="false" outlineLevel="0" collapsed="false">
      <c r="A18" s="4" t="s">
        <v>90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15</v>
      </c>
      <c r="G18" s="4" t="s">
        <v>16</v>
      </c>
      <c r="H18" s="4" t="s">
        <v>95</v>
      </c>
    </row>
    <row r="19" customFormat="false" ht="15" hidden="false" customHeight="false" outlineLevel="0" collapsed="false">
      <c r="A19" s="4" t="s">
        <v>96</v>
      </c>
      <c r="B19" s="4" t="s">
        <v>42</v>
      </c>
      <c r="C19" s="4" t="s">
        <v>97</v>
      </c>
      <c r="D19" s="4" t="s">
        <v>49</v>
      </c>
      <c r="E19" s="4" t="s">
        <v>98</v>
      </c>
      <c r="F19" s="4" t="s">
        <v>15</v>
      </c>
      <c r="G19" s="4" t="s">
        <v>16</v>
      </c>
      <c r="H19" s="4" t="s">
        <v>99</v>
      </c>
    </row>
    <row r="21" customFormat="false" ht="15" hidden="false" customHeight="false" outlineLevel="0" collapsed="false">
      <c r="A21" s="6" t="s">
        <v>100</v>
      </c>
      <c r="B21" s="6" t="n">
        <f aca="false">COUNTA(C5:C19)</f>
        <v>15</v>
      </c>
    </row>
    <row r="22" customFormat="false" ht="15" hidden="false" customHeight="false" outlineLevel="0" collapsed="false">
      <c r="A22" s="7" t="s">
        <v>101</v>
      </c>
      <c r="B22" s="7" t="n">
        <f aca="false">COUNTIF(G5:G19,"Privileged*")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2026-06-26T18:21:29Z</dcterms:created>
  <dc:creator>openpyxl</dc:creator>
  <dc:description/>
  <dc:language>en-US</dc:language>
  <cp:lastModifiedBy/>
  <dcterms:modified xsi:type="dcterms:W3CDTF">2026-06-26T18:21:29Z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