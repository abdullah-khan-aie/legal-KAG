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tencing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<sst xmlns="http://schemas.openxmlformats.org/spreadsheetml/2006/main" count="56" uniqueCount="51">
  <si>
    <t xml:space="preserve">Project Sentinel (WC-00149) — Indicative Sentencing Analysis</t>
  </si>
  <si>
    <t xml:space="preserve">Pennington Industries Limited — HSE prosecution exposure under the Definitive Guideline (health &amp; safety offences)</t>
  </si>
  <si>
    <t xml:space="preserve">PRIVILEGED &amp; CONFIDENTIAL — prepared for the purpose of legal advice. All figures indicative.</t>
  </si>
  <si>
    <t xml:space="preserve">Inputs / Assumptions (blue = input)</t>
  </si>
  <si>
    <t xml:space="preserve">Item</t>
  </si>
  <si>
    <t xml:space="preserve">Value</t>
  </si>
  <si>
    <t xml:space="preserve">Note / Source</t>
  </si>
  <si>
    <t xml:space="preserve">Company turnover (£, audited FY2025)</t>
  </si>
  <si>
    <t xml:space="preserve">Source: Pennington Industries audited accounts FY2025</t>
  </si>
  <si>
    <t xml:space="preserve">Organisation band</t>
  </si>
  <si>
    <t xml:space="preserve">Medium</t>
  </si>
  <si>
    <t xml:space="preserve">Guideline: turnover £10m–£50m = Medium</t>
  </si>
  <si>
    <t xml:space="preserve">Culpability (target)</t>
  </si>
  <si>
    <t xml:space="preserve">Per Advice Note 20 Mar 2026</t>
  </si>
  <si>
    <t xml:space="preserve">Harm — seriousness of harm risked</t>
  </si>
  <si>
    <t xml:space="preserve">Level A</t>
  </si>
  <si>
    <t xml:space="preserve">Risk of amputation / serious permanent injury</t>
  </si>
  <si>
    <t xml:space="preserve">Harm — likelihood</t>
  </si>
  <si>
    <t xml:space="preserve">Harm realised?</t>
  </si>
  <si>
    <t xml:space="preserve">Yes</t>
  </si>
  <si>
    <t xml:space="preserve">Three-finger partial amputation</t>
  </si>
  <si>
    <t xml:space="preserve">Harm category</t>
  </si>
  <si>
    <t xml:space="preserve">Derived: Level A + medium likelihood, harm realised</t>
  </si>
  <si>
    <t xml:space="preserve">Net mitigation adjustment (£)</t>
  </si>
  <si>
    <t xml:space="preserve">Co-operation, remediation, no enforcement history, remorse</t>
  </si>
  <si>
    <t xml:space="preserve">Plea credit (early plea)</t>
  </si>
  <si>
    <t xml:space="preserve">One third for plea at first reasonable opportunity</t>
  </si>
  <si>
    <t xml:space="preserve">Guideline reference — starting points &amp; ranges (Medium organisation)</t>
  </si>
  <si>
    <t xml:space="preserve">Culpability / Harm cat</t>
  </si>
  <si>
    <t xml:space="preserve">Starting point (£)</t>
  </si>
  <si>
    <t xml:space="preserve">Range low (£)</t>
  </si>
  <si>
    <t xml:space="preserve">Range high (£)</t>
  </si>
  <si>
    <t xml:space="preserve">Medium culpability — Harm cat 2</t>
  </si>
  <si>
    <t xml:space="preserve">Medium culpability — Harm cat 1</t>
  </si>
  <si>
    <t xml:space="preserve">High culpability — Harm cat 2</t>
  </si>
  <si>
    <t xml:space="preserve">Low culpability — Harm cat 2</t>
  </si>
  <si>
    <t xml:space="preserve">Calculation (black = formula)</t>
  </si>
  <si>
    <t xml:space="preserve">Step</t>
  </si>
  <si>
    <t xml:space="preserve">Amount (£)</t>
  </si>
  <si>
    <t xml:space="preserve">Starting point (medium culp., harm cat 2, medium org)</t>
  </si>
  <si>
    <t xml:space="preserve">Add: net mitigation adjustment</t>
  </si>
  <si>
    <t xml:space="preserve">Figure before plea credit</t>
  </si>
  <si>
    <t xml:space="preserve">Less: credit for early guilty plea</t>
  </si>
  <si>
    <t xml:space="preserve">Indicative fine after full credit</t>
  </si>
  <si>
    <t xml:space="preserve">HSE investigation &amp; FFI costs (est.)</t>
  </si>
  <si>
    <t xml:space="preserve">Total indicative financial outcome</t>
  </si>
  <si>
    <t xml:space="preserve">Sensitivity — if HSE establishes HIGH culpability</t>
  </si>
  <si>
    <t xml:space="preserve">Starting point (HIGH culp., harm cat 2, medium org)</t>
  </si>
  <si>
    <t xml:space="preserve">Less: net mitigation (as above)</t>
  </si>
  <si>
    <t xml:space="preserve">Less: early plea credit</t>
  </si>
  <si>
    <t xml:space="preserve">Indicative fine after full credit (high culpability)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</si>
</sst>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"/>
    <numFmt numFmtId="166" formatCode="0.0%"/>
    <numFmt numFmtId="167" formatCode="\£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0"/>
      <color rgb="FFB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DF5"/>
        <bgColor rgb="FFFFFFFF"/>
      </patternFill>
    </fill>
    <fill>
      <patternFill patternType="solid">
        <fgColor rgb="FF2E4A7B"/>
        <bgColor rgb="FF555555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4A7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false" outlineLevel="0" collapsed="false">
      <c r="A7" s="6" t="s">
        <v>7</v>
      </c>
      <c r="B7" s="7" t="n">
        <v>48000000</v>
      </c>
      <c r="C7" s="8" t="s">
        <v>8</v>
      </c>
    </row>
    <row r="8" customFormat="false" ht="15" hidden="false" customHeight="false" outlineLevel="0" collapsed="false">
      <c r="A8" s="6" t="s">
        <v>9</v>
      </c>
      <c r="B8" s="9" t="s">
        <v>10</v>
      </c>
      <c r="C8" s="8" t="s">
        <v>11</v>
      </c>
    </row>
    <row r="9" customFormat="false" ht="15" hidden="false" customHeight="false" outlineLevel="0" collapsed="false">
      <c r="A9" s="6" t="s">
        <v>12</v>
      </c>
      <c r="B9" s="9" t="s">
        <v>10</v>
      </c>
      <c r="C9" s="8" t="s">
        <v>13</v>
      </c>
    </row>
    <row r="10" customFormat="false" ht="15" hidden="false" customHeight="false" outlineLevel="0" collapsed="false">
      <c r="A10" s="6" t="s">
        <v>14</v>
      </c>
      <c r="B10" s="9" t="s">
        <v>15</v>
      </c>
      <c r="C10" s="8" t="s">
        <v>16</v>
      </c>
    </row>
    <row r="11" customFormat="false" ht="15" hidden="false" customHeight="false" outlineLevel="0" collapsed="false">
      <c r="A11" s="6" t="s">
        <v>17</v>
      </c>
      <c r="B11" s="9" t="s">
        <v>10</v>
      </c>
      <c r="C11" s="8"/>
    </row>
    <row r="12" customFormat="false" ht="15" hidden="false" customHeight="false" outlineLevel="0" collapsed="false">
      <c r="A12" s="6" t="s">
        <v>18</v>
      </c>
      <c r="B12" s="9" t="s">
        <v>19</v>
      </c>
      <c r="C12" s="8" t="s">
        <v>20</v>
      </c>
    </row>
    <row r="13" customFormat="false" ht="15" hidden="false" customHeight="false" outlineLevel="0" collapsed="false">
      <c r="A13" s="6" t="s">
        <v>21</v>
      </c>
      <c r="B13" s="9" t="n">
        <v>2</v>
      </c>
      <c r="C13" s="8" t="s">
        <v>22</v>
      </c>
    </row>
    <row r="14" customFormat="false" ht="15" hidden="false" customHeight="false" outlineLevel="0" collapsed="false">
      <c r="A14" s="6" t="s">
        <v>23</v>
      </c>
      <c r="B14" s="7" t="n">
        <v>-140000</v>
      </c>
      <c r="C14" s="8" t="s">
        <v>24</v>
      </c>
    </row>
    <row r="15" customFormat="false" ht="15" hidden="false" customHeight="false" outlineLevel="0" collapsed="false">
      <c r="A15" s="6" t="s">
        <v>25</v>
      </c>
      <c r="B15" s="10" t="n">
        <v>0.3333</v>
      </c>
      <c r="C15" s="8" t="s">
        <v>26</v>
      </c>
    </row>
    <row r="17" customFormat="false" ht="15" hidden="false" customHeight="false" outlineLevel="0" collapsed="false">
      <c r="A17" s="4" t="s">
        <v>27</v>
      </c>
      <c r="B17" s="4"/>
      <c r="C17" s="4"/>
      <c r="D17" s="4"/>
    </row>
    <row r="18" customFormat="false" ht="15" hidden="false" customHeight="false" outlineLevel="0" collapsed="false">
      <c r="A18" s="5" t="s">
        <v>28</v>
      </c>
      <c r="B18" s="5" t="s">
        <v>29</v>
      </c>
      <c r="C18" s="5" t="s">
        <v>30</v>
      </c>
      <c r="D18" s="5" t="s">
        <v>31</v>
      </c>
    </row>
    <row r="19" customFormat="false" ht="15" hidden="false" customHeight="false" outlineLevel="0" collapsed="false">
      <c r="A19" s="11" t="s">
        <v>32</v>
      </c>
      <c r="B19" s="12" t="n">
        <v>540000</v>
      </c>
      <c r="C19" s="12" t="n">
        <v>250000</v>
      </c>
      <c r="D19" s="12" t="n">
        <v>1300000</v>
      </c>
    </row>
    <row r="20" customFormat="false" ht="15" hidden="false" customHeight="false" outlineLevel="0" collapsed="false">
      <c r="A20" s="6" t="s">
        <v>33</v>
      </c>
      <c r="B20" s="13" t="n">
        <v>950000</v>
      </c>
      <c r="C20" s="13" t="n">
        <v>450000</v>
      </c>
      <c r="D20" s="13" t="n">
        <v>2000000</v>
      </c>
    </row>
    <row r="21" customFormat="false" ht="15" hidden="false" customHeight="false" outlineLevel="0" collapsed="false">
      <c r="A21" s="6" t="s">
        <v>34</v>
      </c>
      <c r="B21" s="13" t="n">
        <v>1100000</v>
      </c>
      <c r="C21" s="13" t="n">
        <v>550000</v>
      </c>
      <c r="D21" s="13" t="n">
        <v>2900000</v>
      </c>
    </row>
    <row r="22" customFormat="false" ht="15" hidden="false" customHeight="false" outlineLevel="0" collapsed="false">
      <c r="A22" s="6" t="s">
        <v>35</v>
      </c>
      <c r="B22" s="13" t="n">
        <v>100000</v>
      </c>
      <c r="C22" s="13" t="n">
        <v>35000</v>
      </c>
      <c r="D22" s="13" t="n">
        <v>250000</v>
      </c>
    </row>
    <row r="24" customFormat="false" ht="15" hidden="false" customHeight="false" outlineLevel="0" collapsed="false">
      <c r="A24" s="4" t="s">
        <v>36</v>
      </c>
      <c r="B24" s="4"/>
    </row>
    <row r="25" customFormat="false" ht="15" hidden="false" customHeight="false" outlineLevel="0" collapsed="false">
      <c r="A25" s="5" t="s">
        <v>37</v>
      </c>
      <c r="B25" s="5" t="s">
        <v>38</v>
      </c>
    </row>
    <row r="26" customFormat="false" ht="15" hidden="false" customHeight="false" outlineLevel="0" collapsed="false">
      <c r="A26" s="6" t="s">
        <v>39</v>
      </c>
      <c r="B26" s="14" t="n">
        <f aca="false">B19</f>
        <v>540000</v>
      </c>
    </row>
    <row r="27" customFormat="false" ht="15" hidden="false" customHeight="false" outlineLevel="0" collapsed="false">
      <c r="A27" s="6" t="s">
        <v>40</v>
      </c>
      <c r="B27" s="14" t="n">
        <f aca="false">B14</f>
        <v>-140000</v>
      </c>
    </row>
    <row r="28" customFormat="false" ht="15" hidden="false" customHeight="false" outlineLevel="0" collapsed="false">
      <c r="A28" s="6" t="s">
        <v>41</v>
      </c>
      <c r="B28" s="15" t="n">
        <f aca="false">B26+B27</f>
        <v>400000</v>
      </c>
    </row>
    <row r="29" customFormat="false" ht="15" hidden="false" customHeight="false" outlineLevel="0" collapsed="false">
      <c r="A29" s="6" t="s">
        <v>42</v>
      </c>
      <c r="B29" s="14" t="n">
        <f aca="false">-B28*B15</f>
        <v>-133320</v>
      </c>
    </row>
    <row r="30" customFormat="false" ht="15" hidden="false" customHeight="false" outlineLevel="0" collapsed="false">
      <c r="A30" s="6" t="s">
        <v>43</v>
      </c>
      <c r="B30" s="15" t="n">
        <f aca="false">B28+B29</f>
        <v>266680</v>
      </c>
    </row>
    <row r="31" customFormat="false" ht="15" hidden="false" customHeight="false" outlineLevel="0" collapsed="false">
      <c r="A31" s="6" t="s">
        <v>44</v>
      </c>
      <c r="B31" s="14" t="n">
        <v>18420</v>
      </c>
    </row>
    <row r="32" customFormat="false" ht="15" hidden="false" customHeight="false" outlineLevel="0" collapsed="false">
      <c r="A32" s="6" t="s">
        <v>45</v>
      </c>
      <c r="B32" s="15" t="n">
        <f aca="false">B30+B31</f>
        <v>285100</v>
      </c>
    </row>
    <row r="34" customFormat="false" ht="15" hidden="false" customHeight="false" outlineLevel="0" collapsed="false">
      <c r="A34" s="4" t="s">
        <v>46</v>
      </c>
      <c r="B34" s="4"/>
    </row>
    <row r="35" customFormat="false" ht="15" hidden="false" customHeight="false" outlineLevel="0" collapsed="false">
      <c r="A35" s="5" t="s">
        <v>37</v>
      </c>
      <c r="B35" s="5" t="s">
        <v>38</v>
      </c>
    </row>
    <row r="36" customFormat="false" ht="15" hidden="false" customHeight="false" outlineLevel="0" collapsed="false">
      <c r="A36" s="6" t="s">
        <v>47</v>
      </c>
      <c r="B36" s="14" t="n">
        <f aca="false">B21</f>
        <v>1100000</v>
      </c>
    </row>
    <row r="37" customFormat="false" ht="15" hidden="false" customHeight="false" outlineLevel="0" collapsed="false">
      <c r="A37" s="6" t="s">
        <v>48</v>
      </c>
      <c r="B37" s="14" t="n">
        <f aca="false">B14</f>
        <v>-140000</v>
      </c>
    </row>
    <row r="38" customFormat="false" ht="15" hidden="false" customHeight="false" outlineLevel="0" collapsed="false">
      <c r="A38" s="6" t="s">
        <v>41</v>
      </c>
      <c r="B38" s="15" t="n">
        <f aca="false">B36+B37</f>
        <v>960000</v>
      </c>
    </row>
    <row r="39" customFormat="false" ht="15" hidden="false" customHeight="false" outlineLevel="0" collapsed="false">
      <c r="A39" s="6" t="s">
        <v>49</v>
      </c>
      <c r="B39" s="14" t="n">
        <f aca="false">-B38*B15</f>
        <v>-319968</v>
      </c>
    </row>
    <row r="40" customFormat="false" ht="15" hidden="false" customHeight="false" outlineLevel="0" collapsed="false">
      <c r="A40" s="6" t="s">
        <v>50</v>
      </c>
      <c r="B40" s="15" t="n">
        <f aca="false">B38+B39</f>
        <v>640032</v>
      </c>
    </row>
  </sheetData>
  <mergeCells count="4">
    <mergeCell ref="A5:C5"/>
    <mergeCell ref="A17:D17"/>
    <mergeCell ref="A24:B24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2026-06-26T18:21:29Z</dcterms:created>
  <dc:creator>openpyxl</dc:creator>
  <dc:description/>
  <dc:language>en-US</dc:language>
  <cp:lastModifiedBy/>
  <dcterms:modified xsi:type="dcterms:W3CDTF">2026-06-26T18:21:29Z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