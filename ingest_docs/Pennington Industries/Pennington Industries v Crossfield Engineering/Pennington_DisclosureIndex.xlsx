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sclosure Index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<sst xmlns="http://schemas.openxmlformats.org/spreadsheetml/2006/main" count="294" uniqueCount="170">
  <si>
    <t xml:space="preserve">PENNINGTON INDUSTRIES LIMITED v CROSSFIELD ENGINEERING LIMITED — Disclosure Index</t>
  </si>
  <si>
    <t xml:space="preserve">Claim No. CC-2025-BHM-000142  |  Extended Disclosure, Model D  |  Prepared by Whitfield Carter LLP  |  Updated 8 July 2025</t>
  </si>
  <si>
    <t xml:space="preserve">Doc No.</t>
  </si>
  <si>
    <t xml:space="preserve">Date</t>
  </si>
  <si>
    <t xml:space="preserve">Document</t>
  </si>
  <si>
    <t xml:space="preserve">From / Author</t>
  </si>
  <si>
    <t xml:space="preserve">To / Recipient</t>
  </si>
  <si>
    <t xml:space="preserve">Type</t>
  </si>
  <si>
    <t xml:space="preserve">Category</t>
  </si>
  <si>
    <t xml:space="preserve">Disclosure (Model D)</t>
  </si>
  <si>
    <t xml:space="preserve">Privilege</t>
  </si>
  <si>
    <t xml:space="preserve">Bundle ref</t>
  </si>
  <si>
    <t xml:space="preserve">D-001</t>
  </si>
  <si>
    <t xml:space="preserve">12/03/2024</t>
  </si>
  <si>
    <t xml:space="preserve">Supply Agreement — PX-440 impeller housings</t>
  </si>
  <si>
    <t xml:space="preserve">Pennington / Crossfield</t>
  </si>
  <si>
    <t xml:space="preserve">Both parties</t>
  </si>
  <si>
    <t xml:space="preserve">Contract</t>
  </si>
  <si>
    <t xml:space="preserve">Disclosed</t>
  </si>
  <si>
    <t xml:space="preserve">Open</t>
  </si>
  <si>
    <t xml:space="preserve">A/1</t>
  </si>
  <si>
    <t xml:space="preserve">D-002</t>
  </si>
  <si>
    <t xml:space="preserve">Schedule 1 — Technical Specification (316L; tolerances)</t>
  </si>
  <si>
    <t xml:space="preserve">Pennington</t>
  </si>
  <si>
    <t xml:space="preserve">Crossfield</t>
  </si>
  <si>
    <t xml:space="preserve">Specification</t>
  </si>
  <si>
    <t xml:space="preserve">Technical</t>
  </si>
  <si>
    <t xml:space="preserve">A/19</t>
  </si>
  <si>
    <t xml:space="preserve">D-003</t>
  </si>
  <si>
    <t xml:space="preserve">Rev D 2024</t>
  </si>
  <si>
    <t xml:space="preserve">Engineering drawing PX-440-03 Rev D</t>
  </si>
  <si>
    <t xml:space="preserve">Pennington (Eng.)</t>
  </si>
  <si>
    <t xml:space="preserve">Drawing</t>
  </si>
  <si>
    <t xml:space="preserve">A/24</t>
  </si>
  <si>
    <t xml:space="preserve">D-004</t>
  </si>
  <si>
    <t xml:space="preserve">21/02/2024</t>
  </si>
  <si>
    <t xml:space="preserve">Email chain re first-article samples and approval</t>
  </si>
  <si>
    <t xml:space="preserve">H Doyle</t>
  </si>
  <si>
    <t xml:space="preserve">V Hawkins</t>
  </si>
  <si>
    <t xml:space="preserve">Email</t>
  </si>
  <si>
    <t xml:space="preserve">Correspondence</t>
  </si>
  <si>
    <t xml:space="preserve">A/31</t>
  </si>
  <si>
    <t xml:space="preserve">D-005</t>
  </si>
  <si>
    <t xml:space="preserve">06/03/2024</t>
  </si>
  <si>
    <t xml:space="preserve">First-article inspection report (signed)</t>
  </si>
  <si>
    <t xml:space="preserve">Crossfield QA</t>
  </si>
  <si>
    <t xml:space="preserve">Report</t>
  </si>
  <si>
    <t xml:space="preserve">A/40</t>
  </si>
  <si>
    <t xml:space="preserve">D-006</t>
  </si>
  <si>
    <t xml:space="preserve">Apr–Jul 2024</t>
  </si>
  <si>
    <t xml:space="preserve">Purchase orders PEN-PO-3391 to PEN-PO-3417</t>
  </si>
  <si>
    <t xml:space="preserve">Orders</t>
  </si>
  <si>
    <t xml:space="preserve">Commercial</t>
  </si>
  <si>
    <t xml:space="preserve">B/1</t>
  </si>
  <si>
    <t xml:space="preserve">D-007</t>
  </si>
  <si>
    <t xml:space="preserve">Crossfield delivery notes and invoices (£214,830)</t>
  </si>
  <si>
    <t xml:space="preserve">Invoices</t>
  </si>
  <si>
    <t xml:space="preserve">B/22</t>
  </si>
  <si>
    <t xml:space="preserve">D-008</t>
  </si>
  <si>
    <t xml:space="preserve">Mill / material certificates for PX-440 order</t>
  </si>
  <si>
    <t xml:space="preserve">Crossfield / mill</t>
  </si>
  <si>
    <t xml:space="preserve">Certificate</t>
  </si>
  <si>
    <t xml:space="preserve">Requested</t>
  </si>
  <si>
    <t xml:space="preserve">B/55</t>
  </si>
  <si>
    <t xml:space="preserve">D-009</t>
  </si>
  <si>
    <t xml:space="preserve">Crossfield machining and inspection records</t>
  </si>
  <si>
    <t xml:space="preserve">Records</t>
  </si>
  <si>
    <t xml:space="preserve">B/70</t>
  </si>
  <si>
    <t xml:space="preserve">D-010</t>
  </si>
  <si>
    <t xml:space="preserve">Jun/2024</t>
  </si>
  <si>
    <t xml:space="preserve">Engineering change note ECN-PX-118 (torque/seal revision)</t>
  </si>
  <si>
    <t xml:space="preserve">Internal</t>
  </si>
  <si>
    <t xml:space="preserve">Record</t>
  </si>
  <si>
    <t xml:space="preserve">C/1</t>
  </si>
  <si>
    <t xml:space="preserve">D-011</t>
  </si>
  <si>
    <t xml:space="preserve">05/08/2024</t>
  </si>
  <si>
    <t xml:space="preserve">Service desk field-failure log (PX-series)</t>
  </si>
  <si>
    <t xml:space="preserve">C/8</t>
  </si>
  <si>
    <t xml:space="preserve">D-012</t>
  </si>
  <si>
    <t xml:space="preserve">12/08/2024</t>
  </si>
  <si>
    <t xml:space="preserve">H Doyle file note — investigation convened</t>
  </si>
  <si>
    <t xml:space="preserve">Note</t>
  </si>
  <si>
    <t xml:space="preserve">C/20</t>
  </si>
  <si>
    <t xml:space="preserve">D-013</t>
  </si>
  <si>
    <t xml:space="preserve">20/08/2024</t>
  </si>
  <si>
    <t xml:space="preserve">Email — notice of suspected non-conformity</t>
  </si>
  <si>
    <t xml:space="preserve">C/24</t>
  </si>
  <si>
    <t xml:space="preserve">D-014</t>
  </si>
  <si>
    <t xml:space="preserve">28/08/2024</t>
  </si>
  <si>
    <t xml:space="preserve">Letter of instruction to Wraysbury Materials Lab</t>
  </si>
  <si>
    <t xml:space="preserve">Wraysbury</t>
  </si>
  <si>
    <t xml:space="preserve">Letter</t>
  </si>
  <si>
    <t xml:space="preserve">C/30</t>
  </si>
  <si>
    <t xml:space="preserve">D-015</t>
  </si>
  <si>
    <t xml:space="preserve">12/09/2024</t>
  </si>
  <si>
    <t xml:space="preserve">Wraysbury Materials Laboratory report</t>
  </si>
  <si>
    <t xml:space="preserve">Expert/Technical</t>
  </si>
  <si>
    <t xml:space="preserve">C/35</t>
  </si>
  <si>
    <t xml:space="preserve">D-016</t>
  </si>
  <si>
    <t xml:space="preserve">Wraysbury underlying test data and photographs</t>
  </si>
  <si>
    <t xml:space="preserve">Data</t>
  </si>
  <si>
    <t xml:space="preserve">C/56</t>
  </si>
  <si>
    <t xml:space="preserve">D-017</t>
  </si>
  <si>
    <t xml:space="preserve">Sep–Oct 2024</t>
  </si>
  <si>
    <t xml:space="preserve">Replacement component quotes (alternative supplier)</t>
  </si>
  <si>
    <t xml:space="preserve">Alt. supplier</t>
  </si>
  <si>
    <t xml:space="preserve">Quotes</t>
  </si>
  <si>
    <t xml:space="preserve">D/1</t>
  </si>
  <si>
    <t xml:space="preserve">D-018</t>
  </si>
  <si>
    <t xml:space="preserve">Sep–Dec 2024</t>
  </si>
  <si>
    <t xml:space="preserve">Recall and rebuild cost records</t>
  </si>
  <si>
    <t xml:space="preserve">Quantum</t>
  </si>
  <si>
    <t xml:space="preserve">D/14</t>
  </si>
  <si>
    <t xml:space="preserve">D-019</t>
  </si>
  <si>
    <t xml:space="preserve">Oct/2024</t>
  </si>
  <si>
    <t xml:space="preserve">Line 3 production / downtime records</t>
  </si>
  <si>
    <t xml:space="preserve">D/40</t>
  </si>
  <si>
    <t xml:space="preserve">D-020</t>
  </si>
  <si>
    <t xml:space="preserve">18/11/2024</t>
  </si>
  <si>
    <t xml:space="preserve">Letter Before Action</t>
  </si>
  <si>
    <t xml:space="preserve">Whitfield Carter</t>
  </si>
  <si>
    <t xml:space="preserve">E/1</t>
  </si>
  <si>
    <t xml:space="preserve">D-021</t>
  </si>
  <si>
    <t xml:space="preserve">16/12/2024</t>
  </si>
  <si>
    <t xml:space="preserve">Calderbank Hughes response to LBA</t>
  </si>
  <si>
    <t xml:space="preserve">Calderbank Hughes</t>
  </si>
  <si>
    <t xml:space="preserve">E/12</t>
  </si>
  <si>
    <t xml:space="preserve">D-022</t>
  </si>
  <si>
    <t xml:space="preserve">21/01/2025</t>
  </si>
  <si>
    <t xml:space="preserve">Advice of counsel on merits and quantum</t>
  </si>
  <si>
    <t xml:space="preserve">H Stanford</t>
  </si>
  <si>
    <t xml:space="preserve">Advice</t>
  </si>
  <si>
    <t xml:space="preserve">Legal</t>
  </si>
  <si>
    <t xml:space="preserve">Withheld</t>
  </si>
  <si>
    <t xml:space="preserve">Privileged</t>
  </si>
  <si>
    <t xml:space="preserve">—</t>
  </si>
  <si>
    <t xml:space="preserve">D-023</t>
  </si>
  <si>
    <t xml:space="preserve">Jan–Feb 2025</t>
  </si>
  <si>
    <t xml:space="preserve">Internal WC strategy memoranda and notes</t>
  </si>
  <si>
    <t xml:space="preserve">Notes</t>
  </si>
  <si>
    <t xml:space="preserve">D-024</t>
  </si>
  <si>
    <t xml:space="preserve">14/02/2025</t>
  </si>
  <si>
    <t xml:space="preserve">Claim Form and Particulars of Claim (issued)</t>
  </si>
  <si>
    <t xml:space="preserve">Court / Crossfield</t>
  </si>
  <si>
    <t xml:space="preserve">Pleading</t>
  </si>
  <si>
    <t xml:space="preserve">E/20</t>
  </si>
  <si>
    <t xml:space="preserve">D-025</t>
  </si>
  <si>
    <t xml:space="preserve">25/03/2025</t>
  </si>
  <si>
    <t xml:space="preserve">Defence</t>
  </si>
  <si>
    <t xml:space="preserve">Court / Pennington</t>
  </si>
  <si>
    <t xml:space="preserve">E/45</t>
  </si>
  <si>
    <t xml:space="preserve">D-026</t>
  </si>
  <si>
    <t xml:space="preserve">09/05/2025</t>
  </si>
  <si>
    <t xml:space="preserve">CMC Order (directions)</t>
  </si>
  <si>
    <t xml:space="preserve">Court</t>
  </si>
  <si>
    <t xml:space="preserve">Order</t>
  </si>
  <si>
    <t xml:space="preserve">Procedural</t>
  </si>
  <si>
    <t xml:space="preserve">E/60</t>
  </si>
  <si>
    <t xml:space="preserve">D-027</t>
  </si>
  <si>
    <t xml:space="preserve">30/05/2025</t>
  </si>
  <si>
    <t xml:space="preserve">First witness statement of H Doyle</t>
  </si>
  <si>
    <t xml:space="preserve">Statement</t>
  </si>
  <si>
    <t xml:space="preserve">Evidence</t>
  </si>
  <si>
    <t xml:space="preserve">F/1</t>
  </si>
  <si>
    <t xml:space="preserve">D-028</t>
  </si>
  <si>
    <t xml:space="preserve">Various 2024</t>
  </si>
  <si>
    <t xml:space="preserve">Pennington finance ledgers underlying Schedule of Loss</t>
  </si>
  <si>
    <t xml:space="preserve">G/1</t>
  </si>
  <si>
    <t xml:space="preserve">Total documents listed:</t>
  </si>
  <si>
    <t xml:space="preserve">Withheld as privileged: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</si>
</sst>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3864"/>
      <name val="Calibri"/>
      <family val="0"/>
      <charset val="1"/>
    </font>
    <font>
      <i val="true"/>
      <sz val="9"/>
      <color rgb="FF555555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9"/>
      <name val="Calibri"/>
      <family val="0"/>
      <charset val="1"/>
    </font>
    <font>
      <b val="true"/>
      <sz val="9"/>
      <color rgb="FFB00000"/>
      <name val="Calibri"/>
      <family val="0"/>
      <charset val="1"/>
    </font>
    <font>
      <b val="true"/>
      <sz val="9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4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0D0"/>
      </left>
      <right style="thin">
        <color rgb="FFB7C0D0"/>
      </right>
      <top style="thin">
        <color rgb="FFB7C0D0"/>
      </top>
      <bottom style="thin">
        <color rgb="FFB7C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00"/>
      <rgbColor rgb="FF008000"/>
      <rgbColor rgb="FF000080"/>
      <rgbColor rgb="FF808000"/>
      <rgbColor rgb="FF800080"/>
      <rgbColor rgb="FF008080"/>
      <rgbColor rgb="FFB7C0D0"/>
      <rgbColor rgb="FF808080"/>
      <rgbColor rgb="FF9999FF"/>
      <rgbColor rgb="FF993366"/>
      <rgbColor rgb="FFF2F4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40"/>
    <col collapsed="false" customWidth="true" hidden="false" outlineLevel="0" max="5" min="4" style="0" width="20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9" min="8" style="0" width="14"/>
    <col collapsed="false" customWidth="true" hidden="false" outlineLevel="0" max="10" min="10" style="0" width="1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s">
        <v>12</v>
      </c>
      <c r="B5" s="4" t="s">
        <v>13</v>
      </c>
      <c r="C5" s="5" t="s">
        <v>14</v>
      </c>
      <c r="D5" s="4" t="s">
        <v>15</v>
      </c>
      <c r="E5" s="4" t="s">
        <v>16</v>
      </c>
      <c r="F5" s="4" t="s">
        <v>17</v>
      </c>
      <c r="G5" s="4" t="s">
        <v>17</v>
      </c>
      <c r="H5" s="4" t="s">
        <v>18</v>
      </c>
      <c r="I5" s="4" t="s">
        <v>19</v>
      </c>
      <c r="J5" s="4" t="s">
        <v>20</v>
      </c>
    </row>
    <row r="6" customFormat="false" ht="15" hidden="false" customHeight="false" outlineLevel="0" collapsed="false">
      <c r="A6" s="6" t="s">
        <v>21</v>
      </c>
      <c r="B6" s="6" t="s">
        <v>13</v>
      </c>
      <c r="C6" s="7" t="s">
        <v>22</v>
      </c>
      <c r="D6" s="6" t="s">
        <v>23</v>
      </c>
      <c r="E6" s="6" t="s">
        <v>24</v>
      </c>
      <c r="F6" s="6" t="s">
        <v>25</v>
      </c>
      <c r="G6" s="6" t="s">
        <v>26</v>
      </c>
      <c r="H6" s="6" t="s">
        <v>18</v>
      </c>
      <c r="I6" s="6" t="s">
        <v>19</v>
      </c>
      <c r="J6" s="6" t="s">
        <v>27</v>
      </c>
    </row>
    <row r="7" customFormat="false" ht="15" hidden="false" customHeight="false" outlineLevel="0" collapsed="false">
      <c r="A7" s="4" t="s">
        <v>28</v>
      </c>
      <c r="B7" s="4" t="s">
        <v>29</v>
      </c>
      <c r="C7" s="5" t="s">
        <v>30</v>
      </c>
      <c r="D7" s="4" t="s">
        <v>31</v>
      </c>
      <c r="E7" s="4" t="s">
        <v>24</v>
      </c>
      <c r="F7" s="4" t="s">
        <v>32</v>
      </c>
      <c r="G7" s="4" t="s">
        <v>26</v>
      </c>
      <c r="H7" s="4" t="s">
        <v>18</v>
      </c>
      <c r="I7" s="4" t="s">
        <v>19</v>
      </c>
      <c r="J7" s="4" t="s">
        <v>33</v>
      </c>
    </row>
    <row r="8" customFormat="false" ht="15" hidden="false" customHeight="false" outlineLevel="0" collapsed="false">
      <c r="A8" s="6" t="s">
        <v>34</v>
      </c>
      <c r="B8" s="6" t="s">
        <v>35</v>
      </c>
      <c r="C8" s="7" t="s">
        <v>36</v>
      </c>
      <c r="D8" s="6" t="s">
        <v>37</v>
      </c>
      <c r="E8" s="6" t="s">
        <v>38</v>
      </c>
      <c r="F8" s="6" t="s">
        <v>39</v>
      </c>
      <c r="G8" s="6" t="s">
        <v>40</v>
      </c>
      <c r="H8" s="6" t="s">
        <v>18</v>
      </c>
      <c r="I8" s="6" t="s">
        <v>19</v>
      </c>
      <c r="J8" s="6" t="s">
        <v>41</v>
      </c>
    </row>
    <row r="9" customFormat="false" ht="15" hidden="false" customHeight="false" outlineLevel="0" collapsed="false">
      <c r="A9" s="4" t="s">
        <v>42</v>
      </c>
      <c r="B9" s="4" t="s">
        <v>43</v>
      </c>
      <c r="C9" s="5" t="s">
        <v>44</v>
      </c>
      <c r="D9" s="4" t="s">
        <v>45</v>
      </c>
      <c r="E9" s="4" t="s">
        <v>23</v>
      </c>
      <c r="F9" s="4" t="s">
        <v>46</v>
      </c>
      <c r="G9" s="4" t="s">
        <v>26</v>
      </c>
      <c r="H9" s="4" t="s">
        <v>18</v>
      </c>
      <c r="I9" s="4" t="s">
        <v>19</v>
      </c>
      <c r="J9" s="4" t="s">
        <v>47</v>
      </c>
    </row>
    <row r="10" customFormat="false" ht="15" hidden="false" customHeight="false" outlineLevel="0" collapsed="false">
      <c r="A10" s="6" t="s">
        <v>48</v>
      </c>
      <c r="B10" s="6" t="s">
        <v>49</v>
      </c>
      <c r="C10" s="7" t="s">
        <v>50</v>
      </c>
      <c r="D10" s="6" t="s">
        <v>23</v>
      </c>
      <c r="E10" s="6" t="s">
        <v>24</v>
      </c>
      <c r="F10" s="6" t="s">
        <v>51</v>
      </c>
      <c r="G10" s="6" t="s">
        <v>52</v>
      </c>
      <c r="H10" s="6" t="s">
        <v>18</v>
      </c>
      <c r="I10" s="6" t="s">
        <v>19</v>
      </c>
      <c r="J10" s="6" t="s">
        <v>53</v>
      </c>
    </row>
    <row r="11" customFormat="false" ht="15" hidden="false" customHeight="false" outlineLevel="0" collapsed="false">
      <c r="A11" s="4" t="s">
        <v>54</v>
      </c>
      <c r="B11" s="4" t="s">
        <v>49</v>
      </c>
      <c r="C11" s="5" t="s">
        <v>55</v>
      </c>
      <c r="D11" s="4" t="s">
        <v>24</v>
      </c>
      <c r="E11" s="4" t="s">
        <v>23</v>
      </c>
      <c r="F11" s="4" t="s">
        <v>56</v>
      </c>
      <c r="G11" s="4" t="s">
        <v>52</v>
      </c>
      <c r="H11" s="4" t="s">
        <v>18</v>
      </c>
      <c r="I11" s="4" t="s">
        <v>19</v>
      </c>
      <c r="J11" s="4" t="s">
        <v>57</v>
      </c>
    </row>
    <row r="12" customFormat="false" ht="15" hidden="false" customHeight="false" outlineLevel="0" collapsed="false">
      <c r="A12" s="6" t="s">
        <v>58</v>
      </c>
      <c r="B12" s="6" t="s">
        <v>49</v>
      </c>
      <c r="C12" s="7" t="s">
        <v>59</v>
      </c>
      <c r="D12" s="6" t="s">
        <v>60</v>
      </c>
      <c r="E12" s="6" t="s">
        <v>24</v>
      </c>
      <c r="F12" s="6" t="s">
        <v>61</v>
      </c>
      <c r="G12" s="6" t="s">
        <v>26</v>
      </c>
      <c r="H12" s="6" t="s">
        <v>62</v>
      </c>
      <c r="I12" s="6" t="s">
        <v>19</v>
      </c>
      <c r="J12" s="6" t="s">
        <v>63</v>
      </c>
    </row>
    <row r="13" customFormat="false" ht="15" hidden="false" customHeight="false" outlineLevel="0" collapsed="false">
      <c r="A13" s="4" t="s">
        <v>64</v>
      </c>
      <c r="B13" s="4" t="s">
        <v>49</v>
      </c>
      <c r="C13" s="5" t="s">
        <v>65</v>
      </c>
      <c r="D13" s="4" t="s">
        <v>24</v>
      </c>
      <c r="E13" s="4" t="s">
        <v>24</v>
      </c>
      <c r="F13" s="4" t="s">
        <v>66</v>
      </c>
      <c r="G13" s="4" t="s">
        <v>26</v>
      </c>
      <c r="H13" s="4" t="s">
        <v>62</v>
      </c>
      <c r="I13" s="4" t="s">
        <v>19</v>
      </c>
      <c r="J13" s="4" t="s">
        <v>67</v>
      </c>
    </row>
    <row r="14" customFormat="false" ht="19.4" hidden="false" customHeight="false" outlineLevel="0" collapsed="false">
      <c r="A14" s="6" t="s">
        <v>68</v>
      </c>
      <c r="B14" s="6" t="s">
        <v>69</v>
      </c>
      <c r="C14" s="7" t="s">
        <v>70</v>
      </c>
      <c r="D14" s="6" t="s">
        <v>31</v>
      </c>
      <c r="E14" s="6" t="s">
        <v>71</v>
      </c>
      <c r="F14" s="6" t="s">
        <v>72</v>
      </c>
      <c r="G14" s="6" t="s">
        <v>26</v>
      </c>
      <c r="H14" s="6" t="s">
        <v>18</v>
      </c>
      <c r="I14" s="6" t="s">
        <v>19</v>
      </c>
      <c r="J14" s="6" t="s">
        <v>73</v>
      </c>
    </row>
    <row r="15" customFormat="false" ht="15" hidden="false" customHeight="false" outlineLevel="0" collapsed="false">
      <c r="A15" s="4" t="s">
        <v>74</v>
      </c>
      <c r="B15" s="4" t="s">
        <v>75</v>
      </c>
      <c r="C15" s="5" t="s">
        <v>76</v>
      </c>
      <c r="D15" s="4" t="s">
        <v>23</v>
      </c>
      <c r="E15" s="4" t="s">
        <v>71</v>
      </c>
      <c r="F15" s="4" t="s">
        <v>72</v>
      </c>
      <c r="G15" s="4" t="s">
        <v>26</v>
      </c>
      <c r="H15" s="4" t="s">
        <v>18</v>
      </c>
      <c r="I15" s="4" t="s">
        <v>19</v>
      </c>
      <c r="J15" s="4" t="s">
        <v>77</v>
      </c>
    </row>
    <row r="16" customFormat="false" ht="15" hidden="false" customHeight="false" outlineLevel="0" collapsed="false">
      <c r="A16" s="6" t="s">
        <v>78</v>
      </c>
      <c r="B16" s="6" t="s">
        <v>79</v>
      </c>
      <c r="C16" s="7" t="s">
        <v>80</v>
      </c>
      <c r="D16" s="6" t="s">
        <v>37</v>
      </c>
      <c r="E16" s="6" t="s">
        <v>71</v>
      </c>
      <c r="F16" s="6" t="s">
        <v>81</v>
      </c>
      <c r="G16" s="6" t="s">
        <v>71</v>
      </c>
      <c r="H16" s="6" t="s">
        <v>18</v>
      </c>
      <c r="I16" s="6" t="s">
        <v>19</v>
      </c>
      <c r="J16" s="6" t="s">
        <v>82</v>
      </c>
    </row>
    <row r="17" customFormat="false" ht="15" hidden="false" customHeight="false" outlineLevel="0" collapsed="false">
      <c r="A17" s="4" t="s">
        <v>83</v>
      </c>
      <c r="B17" s="4" t="s">
        <v>84</v>
      </c>
      <c r="C17" s="5" t="s">
        <v>85</v>
      </c>
      <c r="D17" s="4" t="s">
        <v>37</v>
      </c>
      <c r="E17" s="4" t="s">
        <v>38</v>
      </c>
      <c r="F17" s="4" t="s">
        <v>39</v>
      </c>
      <c r="G17" s="4" t="s">
        <v>40</v>
      </c>
      <c r="H17" s="4" t="s">
        <v>18</v>
      </c>
      <c r="I17" s="4" t="s">
        <v>19</v>
      </c>
      <c r="J17" s="4" t="s">
        <v>86</v>
      </c>
    </row>
    <row r="18" customFormat="false" ht="15" hidden="false" customHeight="false" outlineLevel="0" collapsed="false">
      <c r="A18" s="6" t="s">
        <v>87</v>
      </c>
      <c r="B18" s="6" t="s">
        <v>88</v>
      </c>
      <c r="C18" s="7" t="s">
        <v>89</v>
      </c>
      <c r="D18" s="6" t="s">
        <v>23</v>
      </c>
      <c r="E18" s="6" t="s">
        <v>90</v>
      </c>
      <c r="F18" s="6" t="s">
        <v>91</v>
      </c>
      <c r="G18" s="6" t="s">
        <v>40</v>
      </c>
      <c r="H18" s="6" t="s">
        <v>18</v>
      </c>
      <c r="I18" s="6" t="s">
        <v>19</v>
      </c>
      <c r="J18" s="6" t="s">
        <v>92</v>
      </c>
    </row>
    <row r="19" customFormat="false" ht="15" hidden="false" customHeight="false" outlineLevel="0" collapsed="false">
      <c r="A19" s="4" t="s">
        <v>93</v>
      </c>
      <c r="B19" s="4" t="s">
        <v>94</v>
      </c>
      <c r="C19" s="5" t="s">
        <v>95</v>
      </c>
      <c r="D19" s="4" t="s">
        <v>90</v>
      </c>
      <c r="E19" s="4" t="s">
        <v>23</v>
      </c>
      <c r="F19" s="4" t="s">
        <v>46</v>
      </c>
      <c r="G19" s="4" t="s">
        <v>96</v>
      </c>
      <c r="H19" s="4" t="s">
        <v>18</v>
      </c>
      <c r="I19" s="4" t="s">
        <v>19</v>
      </c>
      <c r="J19" s="4" t="s">
        <v>97</v>
      </c>
    </row>
    <row r="20" customFormat="false" ht="15" hidden="false" customHeight="false" outlineLevel="0" collapsed="false">
      <c r="A20" s="6" t="s">
        <v>98</v>
      </c>
      <c r="B20" s="6" t="s">
        <v>94</v>
      </c>
      <c r="C20" s="7" t="s">
        <v>99</v>
      </c>
      <c r="D20" s="6" t="s">
        <v>90</v>
      </c>
      <c r="E20" s="6" t="s">
        <v>23</v>
      </c>
      <c r="F20" s="6" t="s">
        <v>100</v>
      </c>
      <c r="G20" s="6" t="s">
        <v>96</v>
      </c>
      <c r="H20" s="6" t="s">
        <v>18</v>
      </c>
      <c r="I20" s="6" t="s">
        <v>19</v>
      </c>
      <c r="J20" s="6" t="s">
        <v>101</v>
      </c>
    </row>
    <row r="21" customFormat="false" ht="15" hidden="false" customHeight="false" outlineLevel="0" collapsed="false">
      <c r="A21" s="4" t="s">
        <v>102</v>
      </c>
      <c r="B21" s="4" t="s">
        <v>103</v>
      </c>
      <c r="C21" s="5" t="s">
        <v>104</v>
      </c>
      <c r="D21" s="4" t="s">
        <v>105</v>
      </c>
      <c r="E21" s="4" t="s">
        <v>23</v>
      </c>
      <c r="F21" s="4" t="s">
        <v>106</v>
      </c>
      <c r="G21" s="4" t="s">
        <v>52</v>
      </c>
      <c r="H21" s="4" t="s">
        <v>18</v>
      </c>
      <c r="I21" s="4" t="s">
        <v>19</v>
      </c>
      <c r="J21" s="4" t="s">
        <v>107</v>
      </c>
    </row>
    <row r="22" customFormat="false" ht="15" hidden="false" customHeight="false" outlineLevel="0" collapsed="false">
      <c r="A22" s="6" t="s">
        <v>108</v>
      </c>
      <c r="B22" s="6" t="s">
        <v>109</v>
      </c>
      <c r="C22" s="7" t="s">
        <v>110</v>
      </c>
      <c r="D22" s="6" t="s">
        <v>23</v>
      </c>
      <c r="E22" s="6" t="s">
        <v>71</v>
      </c>
      <c r="F22" s="6" t="s">
        <v>66</v>
      </c>
      <c r="G22" s="6" t="s">
        <v>111</v>
      </c>
      <c r="H22" s="6" t="s">
        <v>18</v>
      </c>
      <c r="I22" s="6" t="s">
        <v>19</v>
      </c>
      <c r="J22" s="6" t="s">
        <v>112</v>
      </c>
    </row>
    <row r="23" customFormat="false" ht="15" hidden="false" customHeight="false" outlineLevel="0" collapsed="false">
      <c r="A23" s="4" t="s">
        <v>113</v>
      </c>
      <c r="B23" s="4" t="s">
        <v>114</v>
      </c>
      <c r="C23" s="5" t="s">
        <v>115</v>
      </c>
      <c r="D23" s="4" t="s">
        <v>23</v>
      </c>
      <c r="E23" s="4" t="s">
        <v>71</v>
      </c>
      <c r="F23" s="4" t="s">
        <v>66</v>
      </c>
      <c r="G23" s="4" t="s">
        <v>111</v>
      </c>
      <c r="H23" s="4" t="s">
        <v>18</v>
      </c>
      <c r="I23" s="4" t="s">
        <v>19</v>
      </c>
      <c r="J23" s="4" t="s">
        <v>116</v>
      </c>
    </row>
    <row r="24" customFormat="false" ht="15" hidden="false" customHeight="false" outlineLevel="0" collapsed="false">
      <c r="A24" s="6" t="s">
        <v>117</v>
      </c>
      <c r="B24" s="6" t="s">
        <v>118</v>
      </c>
      <c r="C24" s="7" t="s">
        <v>119</v>
      </c>
      <c r="D24" s="6" t="s">
        <v>120</v>
      </c>
      <c r="E24" s="6" t="s">
        <v>24</v>
      </c>
      <c r="F24" s="6" t="s">
        <v>91</v>
      </c>
      <c r="G24" s="6" t="s">
        <v>40</v>
      </c>
      <c r="H24" s="6" t="s">
        <v>18</v>
      </c>
      <c r="I24" s="6" t="s">
        <v>19</v>
      </c>
      <c r="J24" s="6" t="s">
        <v>121</v>
      </c>
    </row>
    <row r="25" customFormat="false" ht="15" hidden="false" customHeight="false" outlineLevel="0" collapsed="false">
      <c r="A25" s="4" t="s">
        <v>122</v>
      </c>
      <c r="B25" s="4" t="s">
        <v>123</v>
      </c>
      <c r="C25" s="5" t="s">
        <v>124</v>
      </c>
      <c r="D25" s="4" t="s">
        <v>125</v>
      </c>
      <c r="E25" s="4" t="s">
        <v>120</v>
      </c>
      <c r="F25" s="4" t="s">
        <v>91</v>
      </c>
      <c r="G25" s="4" t="s">
        <v>40</v>
      </c>
      <c r="H25" s="4" t="s">
        <v>18</v>
      </c>
      <c r="I25" s="4" t="s">
        <v>19</v>
      </c>
      <c r="J25" s="4" t="s">
        <v>126</v>
      </c>
    </row>
    <row r="26" customFormat="false" ht="15" hidden="false" customHeight="false" outlineLevel="0" collapsed="false">
      <c r="A26" s="6" t="s">
        <v>127</v>
      </c>
      <c r="B26" s="6" t="s">
        <v>128</v>
      </c>
      <c r="C26" s="7" t="s">
        <v>129</v>
      </c>
      <c r="D26" s="6" t="s">
        <v>130</v>
      </c>
      <c r="E26" s="6" t="s">
        <v>23</v>
      </c>
      <c r="F26" s="6" t="s">
        <v>131</v>
      </c>
      <c r="G26" s="6" t="s">
        <v>132</v>
      </c>
      <c r="H26" s="6" t="s">
        <v>133</v>
      </c>
      <c r="I26" s="8" t="s">
        <v>134</v>
      </c>
      <c r="J26" s="6" t="s">
        <v>135</v>
      </c>
    </row>
    <row r="27" customFormat="false" ht="15" hidden="false" customHeight="false" outlineLevel="0" collapsed="false">
      <c r="A27" s="4" t="s">
        <v>136</v>
      </c>
      <c r="B27" s="4" t="s">
        <v>137</v>
      </c>
      <c r="C27" s="5" t="s">
        <v>138</v>
      </c>
      <c r="D27" s="4" t="s">
        <v>120</v>
      </c>
      <c r="E27" s="4" t="s">
        <v>71</v>
      </c>
      <c r="F27" s="4" t="s">
        <v>139</v>
      </c>
      <c r="G27" s="4" t="s">
        <v>132</v>
      </c>
      <c r="H27" s="4" t="s">
        <v>133</v>
      </c>
      <c r="I27" s="9" t="s">
        <v>134</v>
      </c>
      <c r="J27" s="4" t="s">
        <v>135</v>
      </c>
    </row>
    <row r="28" customFormat="false" ht="15" hidden="false" customHeight="false" outlineLevel="0" collapsed="false">
      <c r="A28" s="6" t="s">
        <v>140</v>
      </c>
      <c r="B28" s="6" t="s">
        <v>141</v>
      </c>
      <c r="C28" s="7" t="s">
        <v>142</v>
      </c>
      <c r="D28" s="6" t="s">
        <v>120</v>
      </c>
      <c r="E28" s="6" t="s">
        <v>143</v>
      </c>
      <c r="F28" s="6" t="s">
        <v>144</v>
      </c>
      <c r="G28" s="6" t="s">
        <v>144</v>
      </c>
      <c r="H28" s="6" t="s">
        <v>18</v>
      </c>
      <c r="I28" s="6" t="s">
        <v>19</v>
      </c>
      <c r="J28" s="6" t="s">
        <v>145</v>
      </c>
    </row>
    <row r="29" customFormat="false" ht="15" hidden="false" customHeight="false" outlineLevel="0" collapsed="false">
      <c r="A29" s="4" t="s">
        <v>146</v>
      </c>
      <c r="B29" s="4" t="s">
        <v>147</v>
      </c>
      <c r="C29" s="5" t="s">
        <v>148</v>
      </c>
      <c r="D29" s="4" t="s">
        <v>125</v>
      </c>
      <c r="E29" s="4" t="s">
        <v>149</v>
      </c>
      <c r="F29" s="4" t="s">
        <v>144</v>
      </c>
      <c r="G29" s="4" t="s">
        <v>144</v>
      </c>
      <c r="H29" s="4" t="s">
        <v>18</v>
      </c>
      <c r="I29" s="4" t="s">
        <v>19</v>
      </c>
      <c r="J29" s="4" t="s">
        <v>150</v>
      </c>
    </row>
    <row r="30" customFormat="false" ht="15" hidden="false" customHeight="false" outlineLevel="0" collapsed="false">
      <c r="A30" s="6" t="s">
        <v>151</v>
      </c>
      <c r="B30" s="6" t="s">
        <v>152</v>
      </c>
      <c r="C30" s="7" t="s">
        <v>153</v>
      </c>
      <c r="D30" s="6" t="s">
        <v>154</v>
      </c>
      <c r="E30" s="6" t="s">
        <v>16</v>
      </c>
      <c r="F30" s="6" t="s">
        <v>155</v>
      </c>
      <c r="G30" s="6" t="s">
        <v>156</v>
      </c>
      <c r="H30" s="6" t="s">
        <v>18</v>
      </c>
      <c r="I30" s="6" t="s">
        <v>19</v>
      </c>
      <c r="J30" s="6" t="s">
        <v>157</v>
      </c>
    </row>
    <row r="31" customFormat="false" ht="15" hidden="false" customHeight="false" outlineLevel="0" collapsed="false">
      <c r="A31" s="4" t="s">
        <v>158</v>
      </c>
      <c r="B31" s="4" t="s">
        <v>159</v>
      </c>
      <c r="C31" s="5" t="s">
        <v>160</v>
      </c>
      <c r="D31" s="4" t="s">
        <v>37</v>
      </c>
      <c r="E31" s="4" t="s">
        <v>143</v>
      </c>
      <c r="F31" s="4" t="s">
        <v>161</v>
      </c>
      <c r="G31" s="4" t="s">
        <v>162</v>
      </c>
      <c r="H31" s="4" t="s">
        <v>18</v>
      </c>
      <c r="I31" s="4" t="s">
        <v>19</v>
      </c>
      <c r="J31" s="4" t="s">
        <v>163</v>
      </c>
    </row>
    <row r="32" customFormat="false" ht="15" hidden="false" customHeight="false" outlineLevel="0" collapsed="false">
      <c r="A32" s="6" t="s">
        <v>164</v>
      </c>
      <c r="B32" s="6" t="s">
        <v>165</v>
      </c>
      <c r="C32" s="7" t="s">
        <v>166</v>
      </c>
      <c r="D32" s="6" t="s">
        <v>23</v>
      </c>
      <c r="E32" s="6" t="s">
        <v>71</v>
      </c>
      <c r="F32" s="6" t="s">
        <v>66</v>
      </c>
      <c r="G32" s="6" t="s">
        <v>111</v>
      </c>
      <c r="H32" s="6" t="s">
        <v>18</v>
      </c>
      <c r="I32" s="6" t="s">
        <v>19</v>
      </c>
      <c r="J32" s="6" t="s">
        <v>167</v>
      </c>
    </row>
    <row r="34" customFormat="false" ht="15" hidden="false" customHeight="false" outlineLevel="0" collapsed="false">
      <c r="B34" s="10" t="s">
        <v>168</v>
      </c>
      <c r="C34" s="10" t="n">
        <f aca="false">COUNTA(A5:A32)</f>
        <v>28</v>
      </c>
    </row>
    <row r="35" customFormat="false" ht="15" hidden="false" customHeight="false" outlineLevel="0" collapsed="false">
      <c r="B35" s="10" t="s">
        <v>169</v>
      </c>
      <c r="C35" s="10" t="n">
        <f aca="false">COUNTIF(I5:I32,"Privileged")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2026-06-10T21:25:43Z</dcterms:created>
  <dc:creator>openpyxl</dc:creator>
  <dc:description/>
  <dc:language>en-US</dc:language>
  <cp:lastModifiedBy/>
  <dcterms:modified xsi:type="dcterms:W3CDTF">2026-06-10T21:25:43Z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