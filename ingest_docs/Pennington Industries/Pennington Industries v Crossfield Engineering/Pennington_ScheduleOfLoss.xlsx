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<sst xmlns="http://schemas.openxmlformats.org/spreadsheetml/2006/main" count="86" uniqueCount="55">
  <si>
    <t xml:space="preserve">PENNINGTON INDUSTRIES LIMITED v CROSSFIELD ENGINEERING LIMITED</t>
  </si>
  <si>
    <t xml:space="preserve">Schedule of Loss  —  Claim No. CC-2025-BHM-000142</t>
  </si>
  <si>
    <t xml:space="preserve">Prepared by Whitfield Carter LLP  |  Ref SW/JO/PEN-0111  |  Served with the Particulars of Claim, February 2025</t>
  </si>
  <si>
    <t xml:space="preserve">All figures in £ sterling, exclusive of VAT. Figures drawn from the Claimant's production, purchasing and finance records.</t>
  </si>
  <si>
    <t xml:space="preserve">Item</t>
  </si>
  <si>
    <t xml:space="preserve">Description</t>
  </si>
  <si>
    <t xml:space="preserve">Qty / basis</t>
  </si>
  <si>
    <t xml:space="preserve">Unit (£)</t>
  </si>
  <si>
    <t xml:space="preserve">Amount (£)</t>
  </si>
  <si>
    <t xml:space="preserve">Head 1 — Cost of replacement conforming components</t>
  </si>
  <si>
    <t xml:space="preserve">1</t>
  </si>
  <si>
    <t xml:space="preserve">Replacement 316L PX-440 housings — premium over original price</t>
  </si>
  <si>
    <t xml:space="preserve">2</t>
  </si>
  <si>
    <t xml:space="preserve">Alternative supplier tooling and first-article charges</t>
  </si>
  <si>
    <t xml:space="preserve">lump sum</t>
  </si>
  <si>
    <t xml:space="preserve">3</t>
  </si>
  <si>
    <t xml:space="preserve">Expedited inbound freight — first replacement batch</t>
  </si>
  <si>
    <t xml:space="preserve">4</t>
  </si>
  <si>
    <t xml:space="preserve">Short-lead second batch premium</t>
  </si>
  <si>
    <t xml:space="preserve">Sub-total</t>
  </si>
  <si>
    <t xml:space="preserve">Head 2 — Recall and rebuild of pumps already shipped</t>
  </si>
  <si>
    <t xml:space="preserve">Recall and rebuild of affected PX-series pumps (labour + parts)</t>
  </si>
  <si>
    <t xml:space="preserve">Customer-site field service visits</t>
  </si>
  <si>
    <t xml:space="preserve">Replacement seals and consumables</t>
  </si>
  <si>
    <t xml:space="preserve">Recall logistics (collection and return)</t>
  </si>
  <si>
    <t xml:space="preserve">Head 3 — Lost production, Assembly Line 3 (six-week shutdown)</t>
  </si>
  <si>
    <t xml:space="preserve">Lost contribution — Line 3 output</t>
  </si>
  <si>
    <t xml:space="preserve">Idle direct labour not redeployable</t>
  </si>
  <si>
    <t xml:space="preserve">Overtime to recover production backlog</t>
  </si>
  <si>
    <t xml:space="preserve">Head 4 — Remedial inspection and rework</t>
  </si>
  <si>
    <t xml:space="preserve">Inspection of quarantined housing stock</t>
  </si>
  <si>
    <t xml:space="preserve">Rework and scrap disposal</t>
  </si>
  <si>
    <t xml:space="preserve">Metallurgical testing (Wraysbury and follow-up)</t>
  </si>
  <si>
    <t xml:space="preserve">Additional QA contractor</t>
  </si>
  <si>
    <t xml:space="preserve">Head 5 — Wasted management and staff time</t>
  </si>
  <si>
    <t xml:space="preserve">Directors' and senior management time</t>
  </si>
  <si>
    <t xml:space="preserve">Engineering and technical staff time</t>
  </si>
  <si>
    <t xml:space="preserve">Procurement, QA and administrative time</t>
  </si>
  <si>
    <t xml:space="preserve">estimate</t>
  </si>
  <si>
    <t xml:space="preserve">Head 6 — Additional carriage and logistics</t>
  </si>
  <si>
    <t xml:space="preserve">Expedited inbound freight (replacement components)</t>
  </si>
  <si>
    <t xml:space="preserve">Outbound carriage for rebuilt customer units</t>
  </si>
  <si>
    <t xml:space="preserve">Courier and sample shipping to laboratory</t>
  </si>
  <si>
    <t xml:space="preserve">TOTAL DAMAGES CLAIMED (excluding interest)</t>
  </si>
  <si>
    <t xml:space="preserve">Interest (illustrative — to be assessed)</t>
  </si>
  <si>
    <t xml:space="preserve">Principal sum</t>
  </si>
  <si>
    <t xml:space="preserve">Mean date of loss</t>
  </si>
  <si>
    <t xml:space="preserve">30 September 2024</t>
  </si>
  <si>
    <t xml:space="preserve">Date to which interest calculated</t>
  </si>
  <si>
    <t xml:space="preserve">9 May 2025</t>
  </si>
  <si>
    <t xml:space="preserve">Days</t>
  </si>
  <si>
    <t xml:space="preserve">Rate per annum (s.35A Senior Courts Act 1981 / 4% over base)</t>
  </si>
  <si>
    <t xml:space="preserve">Interest to date of calculation</t>
  </si>
  <si>
    <t xml:space="preserve">Total claim including interest to date</t>
  </si>
  <si>
    <t xml:space="preserve">Note: This Schedule is provisional and is subject to revision following disclosure and expert evidence. The Claimant reserves the right to update each head of loss.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</si>
</sst>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3F0"/>
        <bgColor rgb="FFF2F4F8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0D0"/>
      </left>
      <right style="thin">
        <color rgb="FFB7C0D0"/>
      </right>
      <top style="thin">
        <color rgb="FFB7C0D0"/>
      </top>
      <bottom style="thin">
        <color rgb="FFB7C0D0"/>
      </bottom>
      <diagonal/>
    </border>
    <border diagonalUp="false" diagonalDown="false">
      <left style="thin">
        <color rgb="FFB7C0D0"/>
      </left>
      <right/>
      <top style="thin">
        <color rgb="FFB7C0D0"/>
      </top>
      <bottom style="thin">
        <color rgb="FFB7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0D0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DC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customFormat="false" ht="15" hidden="false" customHeight="false" outlineLevel="0" collapsed="false">
      <c r="A7" s="5" t="s">
        <v>9</v>
      </c>
      <c r="B7" s="5"/>
      <c r="C7" s="5"/>
      <c r="D7" s="5"/>
      <c r="E7" s="5"/>
    </row>
    <row r="8" customFormat="false" ht="15" hidden="false" customHeight="false" outlineLevel="0" collapsed="false">
      <c r="A8" s="6" t="s">
        <v>10</v>
      </c>
      <c r="B8" s="6" t="s">
        <v>11</v>
      </c>
      <c r="C8" s="7" t="n">
        <v>4200</v>
      </c>
      <c r="D8" s="8" t="n">
        <v>92</v>
      </c>
      <c r="E8" s="9" t="n">
        <f aca="false">C8*D8</f>
        <v>386400</v>
      </c>
    </row>
    <row r="9" customFormat="false" ht="15" hidden="false" customHeight="false" outlineLevel="0" collapsed="false">
      <c r="A9" s="10" t="s">
        <v>12</v>
      </c>
      <c r="B9" s="10" t="s">
        <v>13</v>
      </c>
      <c r="C9" s="11" t="s">
        <v>14</v>
      </c>
      <c r="D9" s="12"/>
      <c r="E9" s="13" t="n">
        <v>48000</v>
      </c>
    </row>
    <row r="10" customFormat="false" ht="15" hidden="false" customHeight="false" outlineLevel="0" collapsed="false">
      <c r="A10" s="6" t="s">
        <v>15</v>
      </c>
      <c r="B10" s="6" t="s">
        <v>16</v>
      </c>
      <c r="C10" s="7" t="s">
        <v>14</v>
      </c>
      <c r="D10" s="8"/>
      <c r="E10" s="9" t="n">
        <v>28000</v>
      </c>
    </row>
    <row r="11" customFormat="false" ht="15" hidden="false" customHeight="false" outlineLevel="0" collapsed="false">
      <c r="A11" s="10" t="s">
        <v>17</v>
      </c>
      <c r="B11" s="10" t="s">
        <v>18</v>
      </c>
      <c r="C11" s="11" t="n">
        <v>1500</v>
      </c>
      <c r="D11" s="12" t="n">
        <v>100</v>
      </c>
      <c r="E11" s="13" t="n">
        <f aca="false">C11*D11</f>
        <v>150000</v>
      </c>
    </row>
    <row r="12" customFormat="false" ht="15" hidden="false" customHeight="false" outlineLevel="0" collapsed="false">
      <c r="A12" s="14"/>
      <c r="B12" s="15" t="s">
        <v>19</v>
      </c>
      <c r="C12" s="14"/>
      <c r="D12" s="14"/>
      <c r="E12" s="16" t="n">
        <f aca="false">SUM(E8:E11)</f>
        <v>612400</v>
      </c>
    </row>
    <row r="13" customFormat="false" ht="15" hidden="false" customHeight="false" outlineLevel="0" collapsed="false">
      <c r="A13" s="5" t="s">
        <v>20</v>
      </c>
      <c r="B13" s="5"/>
      <c r="C13" s="5"/>
      <c r="D13" s="5"/>
      <c r="E13" s="5"/>
    </row>
    <row r="14" customFormat="false" ht="15" hidden="false" customHeight="false" outlineLevel="0" collapsed="false">
      <c r="A14" s="6" t="s">
        <v>10</v>
      </c>
      <c r="B14" s="6" t="s">
        <v>21</v>
      </c>
      <c r="C14" s="7" t="n">
        <v>410</v>
      </c>
      <c r="D14" s="8" t="n">
        <v>980</v>
      </c>
      <c r="E14" s="9" t="n">
        <f aca="false">C14*D14</f>
        <v>401800</v>
      </c>
    </row>
    <row r="15" customFormat="false" ht="15" hidden="false" customHeight="false" outlineLevel="0" collapsed="false">
      <c r="A15" s="10" t="s">
        <v>12</v>
      </c>
      <c r="B15" s="10" t="s">
        <v>22</v>
      </c>
      <c r="C15" s="11" t="n">
        <v>88</v>
      </c>
      <c r="D15" s="12" t="n">
        <v>650</v>
      </c>
      <c r="E15" s="13" t="n">
        <f aca="false">C15*D15</f>
        <v>57200</v>
      </c>
    </row>
    <row r="16" customFormat="false" ht="15" hidden="false" customHeight="false" outlineLevel="0" collapsed="false">
      <c r="A16" s="6" t="s">
        <v>15</v>
      </c>
      <c r="B16" s="6" t="s">
        <v>23</v>
      </c>
      <c r="C16" s="7" t="s">
        <v>14</v>
      </c>
      <c r="D16" s="8"/>
      <c r="E16" s="9" t="n">
        <v>41900</v>
      </c>
    </row>
    <row r="17" customFormat="false" ht="15" hidden="false" customHeight="false" outlineLevel="0" collapsed="false">
      <c r="A17" s="10" t="s">
        <v>17</v>
      </c>
      <c r="B17" s="10" t="s">
        <v>24</v>
      </c>
      <c r="C17" s="11" t="s">
        <v>14</v>
      </c>
      <c r="D17" s="12"/>
      <c r="E17" s="13" t="n">
        <v>48000</v>
      </c>
    </row>
    <row r="18" customFormat="false" ht="15" hidden="false" customHeight="false" outlineLevel="0" collapsed="false">
      <c r="A18" s="14"/>
      <c r="B18" s="15" t="s">
        <v>19</v>
      </c>
      <c r="C18" s="14"/>
      <c r="D18" s="14"/>
      <c r="E18" s="16" t="n">
        <f aca="false">SUM(E14:E17)</f>
        <v>548900</v>
      </c>
    </row>
    <row r="19" customFormat="false" ht="15" hidden="false" customHeight="false" outlineLevel="0" collapsed="false">
      <c r="A19" s="5" t="s">
        <v>25</v>
      </c>
      <c r="B19" s="5"/>
      <c r="C19" s="5"/>
      <c r="D19" s="5"/>
      <c r="E19" s="5"/>
    </row>
    <row r="20" customFormat="false" ht="15" hidden="false" customHeight="false" outlineLevel="0" collapsed="false">
      <c r="A20" s="6" t="s">
        <v>10</v>
      </c>
      <c r="B20" s="6" t="s">
        <v>26</v>
      </c>
      <c r="C20" s="7" t="n">
        <v>6</v>
      </c>
      <c r="D20" s="8" t="n">
        <v>105000</v>
      </c>
      <c r="E20" s="9" t="n">
        <f aca="false">C20*D20</f>
        <v>630000</v>
      </c>
    </row>
    <row r="21" customFormat="false" ht="15" hidden="false" customHeight="false" outlineLevel="0" collapsed="false">
      <c r="A21" s="10" t="s">
        <v>12</v>
      </c>
      <c r="B21" s="10" t="s">
        <v>27</v>
      </c>
      <c r="C21" s="11" t="n">
        <v>6</v>
      </c>
      <c r="D21" s="12" t="n">
        <v>14000</v>
      </c>
      <c r="E21" s="13" t="n">
        <f aca="false">C21*D21</f>
        <v>84000</v>
      </c>
    </row>
    <row r="22" customFormat="false" ht="15" hidden="false" customHeight="false" outlineLevel="0" collapsed="false">
      <c r="A22" s="6" t="s">
        <v>15</v>
      </c>
      <c r="B22" s="6" t="s">
        <v>28</v>
      </c>
      <c r="C22" s="7" t="s">
        <v>14</v>
      </c>
      <c r="D22" s="8"/>
      <c r="E22" s="9" t="n">
        <v>28000</v>
      </c>
    </row>
    <row r="23" customFormat="false" ht="15" hidden="false" customHeight="false" outlineLevel="0" collapsed="false">
      <c r="A23" s="14"/>
      <c r="B23" s="15" t="s">
        <v>19</v>
      </c>
      <c r="C23" s="14"/>
      <c r="D23" s="14"/>
      <c r="E23" s="16" t="n">
        <f aca="false">SUM(E20:E22)</f>
        <v>742000</v>
      </c>
    </row>
    <row r="24" customFormat="false" ht="15" hidden="false" customHeight="false" outlineLevel="0" collapsed="false">
      <c r="A24" s="5" t="s">
        <v>29</v>
      </c>
      <c r="B24" s="5"/>
      <c r="C24" s="5"/>
      <c r="D24" s="5"/>
      <c r="E24" s="5"/>
    </row>
    <row r="25" customFormat="false" ht="15" hidden="false" customHeight="false" outlineLevel="0" collapsed="false">
      <c r="A25" s="10" t="s">
        <v>10</v>
      </c>
      <c r="B25" s="10" t="s">
        <v>30</v>
      </c>
      <c r="C25" s="11" t="n">
        <v>3180</v>
      </c>
      <c r="D25" s="12" t="n">
        <v>42</v>
      </c>
      <c r="E25" s="13" t="n">
        <f aca="false">C25*D25</f>
        <v>133560</v>
      </c>
    </row>
    <row r="26" customFormat="false" ht="15" hidden="false" customHeight="false" outlineLevel="0" collapsed="false">
      <c r="A26" s="6" t="s">
        <v>12</v>
      </c>
      <c r="B26" s="6" t="s">
        <v>31</v>
      </c>
      <c r="C26" s="7" t="s">
        <v>14</v>
      </c>
      <c r="D26" s="8"/>
      <c r="E26" s="9" t="n">
        <v>61040</v>
      </c>
    </row>
    <row r="27" customFormat="false" ht="15" hidden="false" customHeight="false" outlineLevel="0" collapsed="false">
      <c r="A27" s="10" t="s">
        <v>15</v>
      </c>
      <c r="B27" s="10" t="s">
        <v>32</v>
      </c>
      <c r="C27" s="11" t="s">
        <v>14</v>
      </c>
      <c r="D27" s="12"/>
      <c r="E27" s="13" t="n">
        <v>38000</v>
      </c>
    </row>
    <row r="28" customFormat="false" ht="15" hidden="false" customHeight="false" outlineLevel="0" collapsed="false">
      <c r="A28" s="6" t="s">
        <v>17</v>
      </c>
      <c r="B28" s="6" t="s">
        <v>33</v>
      </c>
      <c r="C28" s="7" t="n">
        <v>8</v>
      </c>
      <c r="D28" s="8" t="n">
        <v>10750</v>
      </c>
      <c r="E28" s="9" t="n">
        <f aca="false">C28*D28</f>
        <v>86000</v>
      </c>
    </row>
    <row r="29" customFormat="false" ht="15" hidden="false" customHeight="false" outlineLevel="0" collapsed="false">
      <c r="A29" s="14"/>
      <c r="B29" s="15" t="s">
        <v>19</v>
      </c>
      <c r="C29" s="14"/>
      <c r="D29" s="14"/>
      <c r="E29" s="16" t="n">
        <f aca="false">SUM(E25:E28)</f>
        <v>318600</v>
      </c>
    </row>
    <row r="30" customFormat="false" ht="15" hidden="false" customHeight="false" outlineLevel="0" collapsed="false">
      <c r="A30" s="5" t="s">
        <v>34</v>
      </c>
      <c r="B30" s="5"/>
      <c r="C30" s="5"/>
      <c r="D30" s="5"/>
      <c r="E30" s="5"/>
    </row>
    <row r="31" customFormat="false" ht="15" hidden="false" customHeight="false" outlineLevel="0" collapsed="false">
      <c r="A31" s="10" t="s">
        <v>10</v>
      </c>
      <c r="B31" s="10" t="s">
        <v>35</v>
      </c>
      <c r="C31" s="11" t="n">
        <v>220</v>
      </c>
      <c r="D31" s="12" t="n">
        <v>140</v>
      </c>
      <c r="E31" s="13" t="n">
        <f aca="false">C31*D31</f>
        <v>30800</v>
      </c>
    </row>
    <row r="32" customFormat="false" ht="15" hidden="false" customHeight="false" outlineLevel="0" collapsed="false">
      <c r="A32" s="6" t="s">
        <v>12</v>
      </c>
      <c r="B32" s="6" t="s">
        <v>36</v>
      </c>
      <c r="C32" s="7" t="n">
        <v>520</v>
      </c>
      <c r="D32" s="8" t="n">
        <v>85</v>
      </c>
      <c r="E32" s="9" t="n">
        <f aca="false">C32*D32</f>
        <v>44200</v>
      </c>
    </row>
    <row r="33" customFormat="false" ht="15" hidden="false" customHeight="false" outlineLevel="0" collapsed="false">
      <c r="A33" s="10" t="s">
        <v>15</v>
      </c>
      <c r="B33" s="10" t="s">
        <v>37</v>
      </c>
      <c r="C33" s="11" t="s">
        <v>38</v>
      </c>
      <c r="D33" s="12"/>
      <c r="E33" s="13" t="n">
        <v>21400</v>
      </c>
    </row>
    <row r="34" customFormat="false" ht="15" hidden="false" customHeight="false" outlineLevel="0" collapsed="false">
      <c r="A34" s="14"/>
      <c r="B34" s="15" t="s">
        <v>19</v>
      </c>
      <c r="C34" s="14"/>
      <c r="D34" s="14"/>
      <c r="E34" s="16" t="n">
        <f aca="false">SUM(E31:E33)</f>
        <v>96400</v>
      </c>
    </row>
    <row r="35" customFormat="false" ht="15" hidden="false" customHeight="false" outlineLevel="0" collapsed="false">
      <c r="A35" s="5" t="s">
        <v>39</v>
      </c>
      <c r="B35" s="5"/>
      <c r="C35" s="5"/>
      <c r="D35" s="5"/>
      <c r="E35" s="5"/>
    </row>
    <row r="36" customFormat="false" ht="15" hidden="false" customHeight="false" outlineLevel="0" collapsed="false">
      <c r="A36" s="6" t="s">
        <v>10</v>
      </c>
      <c r="B36" s="6" t="s">
        <v>40</v>
      </c>
      <c r="C36" s="7" t="s">
        <v>14</v>
      </c>
      <c r="D36" s="8"/>
      <c r="E36" s="9" t="n">
        <v>22800</v>
      </c>
    </row>
    <row r="37" customFormat="false" ht="15" hidden="false" customHeight="false" outlineLevel="0" collapsed="false">
      <c r="A37" s="10" t="s">
        <v>12</v>
      </c>
      <c r="B37" s="10" t="s">
        <v>41</v>
      </c>
      <c r="C37" s="11" t="s">
        <v>14</v>
      </c>
      <c r="D37" s="12"/>
      <c r="E37" s="13" t="n">
        <v>12500</v>
      </c>
    </row>
    <row r="38" customFormat="false" ht="15" hidden="false" customHeight="false" outlineLevel="0" collapsed="false">
      <c r="A38" s="6" t="s">
        <v>15</v>
      </c>
      <c r="B38" s="6" t="s">
        <v>42</v>
      </c>
      <c r="C38" s="7" t="s">
        <v>14</v>
      </c>
      <c r="D38" s="8"/>
      <c r="E38" s="9" t="n">
        <v>6000</v>
      </c>
    </row>
    <row r="39" customFormat="false" ht="15" hidden="false" customHeight="false" outlineLevel="0" collapsed="false">
      <c r="A39" s="14"/>
      <c r="B39" s="15" t="s">
        <v>19</v>
      </c>
      <c r="C39" s="14"/>
      <c r="D39" s="14"/>
      <c r="E39" s="16" t="n">
        <f aca="false">SUM(E36:E38)</f>
        <v>41300</v>
      </c>
    </row>
    <row r="41" customFormat="false" ht="15" hidden="false" customHeight="false" outlineLevel="0" collapsed="false">
      <c r="B41" s="17" t="s">
        <v>43</v>
      </c>
      <c r="C41" s="17"/>
      <c r="D41" s="17"/>
      <c r="E41" s="18" t="n">
        <f aca="false">E12+E18+E23+E29+E34+E39</f>
        <v>2359600</v>
      </c>
    </row>
    <row r="44" customFormat="false" ht="15" hidden="false" customHeight="false" outlineLevel="0" collapsed="false">
      <c r="A44" s="19" t="s">
        <v>44</v>
      </c>
    </row>
    <row r="45" customFormat="false" ht="15" hidden="false" customHeight="false" outlineLevel="0" collapsed="false">
      <c r="B45" s="20" t="s">
        <v>45</v>
      </c>
      <c r="E45" s="21" t="n">
        <f aca="false">E41</f>
        <v>2359600</v>
      </c>
    </row>
    <row r="46" customFormat="false" ht="15" hidden="false" customHeight="false" outlineLevel="0" collapsed="false">
      <c r="B46" s="20" t="s">
        <v>46</v>
      </c>
      <c r="E46" s="20" t="s">
        <v>47</v>
      </c>
    </row>
    <row r="47" customFormat="false" ht="15" hidden="false" customHeight="false" outlineLevel="0" collapsed="false">
      <c r="B47" s="20" t="s">
        <v>48</v>
      </c>
      <c r="E47" s="20" t="s">
        <v>49</v>
      </c>
    </row>
    <row r="48" customFormat="false" ht="15" hidden="false" customHeight="false" outlineLevel="0" collapsed="false">
      <c r="B48" s="20" t="s">
        <v>50</v>
      </c>
      <c r="E48" s="22" t="n">
        <v>221</v>
      </c>
    </row>
    <row r="49" customFormat="false" ht="15" hidden="false" customHeight="false" outlineLevel="0" collapsed="false">
      <c r="B49" s="20" t="s">
        <v>51</v>
      </c>
      <c r="E49" s="23" t="n">
        <v>0.08</v>
      </c>
    </row>
    <row r="50" customFormat="false" ht="15" hidden="false" customHeight="false" outlineLevel="0" collapsed="false">
      <c r="B50" s="20" t="s">
        <v>52</v>
      </c>
      <c r="E50" s="21" t="n">
        <f aca="false">E45*E49*E48/365</f>
        <v>114295.145205479</v>
      </c>
    </row>
    <row r="51" customFormat="false" ht="15" hidden="false" customHeight="false" outlineLevel="0" collapsed="false">
      <c r="B51" s="20" t="s">
        <v>53</v>
      </c>
      <c r="E51" s="24" t="n">
        <f aca="false">E45+E50</f>
        <v>2473895.14520548</v>
      </c>
    </row>
    <row r="53" customFormat="false" ht="19.4" hidden="false" customHeight="true" outlineLevel="0" collapsed="false">
      <c r="A53" s="25" t="s">
        <v>54</v>
      </c>
      <c r="B53" s="25"/>
      <c r="C53" s="25"/>
      <c r="D53" s="25"/>
      <c r="E53" s="25"/>
    </row>
  </sheetData>
  <mergeCells count="7">
    <mergeCell ref="A7:E7"/>
    <mergeCell ref="A13:E13"/>
    <mergeCell ref="A19:E19"/>
    <mergeCell ref="A24:E24"/>
    <mergeCell ref="A30:E30"/>
    <mergeCell ref="A35:E35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2026-06-10T21:25:43Z</dcterms:created>
  <dc:creator>openpyxl</dc:creator>
  <dc:description/>
  <dc:language>en-US</dc:language>
  <cp:lastModifiedBy/>
  <dcterms:modified xsi:type="dcterms:W3CDTF">2026-06-10T21:25:43Z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