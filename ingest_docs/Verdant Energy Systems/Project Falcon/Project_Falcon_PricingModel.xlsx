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ilestones" sheetId="2" state="visible" r:id="rId4"/>
    <sheet name="LTSA_Charges" sheetId="3" state="visible" r:id="rId5"/>
    <sheet name="ContractVal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<sst xmlns="http://schemas.openxmlformats.org/spreadsheetml/2006/main" count="59" uniqueCount="57">
  <si>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Project Falcon - Carrowmoor BESS - Charges &amp; Contract Value Model</t>
  </si>
  <si>
    <t xml:space="preserve">Verdant Energy Systems Limited (Supplier) / Stratton Energy plc (Customer)</t>
  </si>
  <si>
    <t xml:space="preserve">All figures GBP, excluding VAT. Executed terms (12 Feb 2026).</t>
  </si>
  <si>
    <t xml:space="preserve">Key assumption</t>
  </si>
  <si>
    <t xml:space="preserve">Value</t>
  </si>
  <si>
    <t xml:space="preserve">Unit / note</t>
  </si>
  <si>
    <t xml:space="preserve">System power rating</t>
  </si>
  <si>
    <t xml:space="preserve">MW (input)</t>
  </si>
  <si>
    <t xml:space="preserve">System energy capacity</t>
  </si>
  <si>
    <t xml:space="preserve">MWh (input)</t>
  </si>
  <si>
    <t xml:space="preserve">Supply price per MWh</t>
  </si>
  <si>
    <t xml:space="preserve">GBP/MWh (input)</t>
  </si>
  <si>
    <t xml:space="preserve">Supply Price (total)</t>
  </si>
  <si>
    <t xml:space="preserve">GBP = capacity (B7) x unit price (B8)</t>
  </si>
  <si>
    <t xml:space="preserve">Annual Licence Fee (year 1)</t>
  </si>
  <si>
    <t xml:space="preserve">GBP, CPI-indexed (input)</t>
  </si>
  <si>
    <t xml:space="preserve">Annual Service Charge (year 1)</t>
  </si>
  <si>
    <t xml:space="preserve">CPI indexation</t>
  </si>
  <si>
    <t xml:space="preserve">per annum (input)</t>
  </si>
  <si>
    <t xml:space="preserve">LTSA term</t>
  </si>
  <si>
    <t xml:space="preserve">years from COD (input)</t>
  </si>
  <si>
    <t xml:space="preserve">Guaranteed Availability</t>
  </si>
  <si>
    <t xml:space="preserve">per Contract Year (input)</t>
  </si>
  <si>
    <t xml:space="preserve">Availability LD cap</t>
  </si>
  <si>
    <t xml:space="preserve">of annual Service Charge (input)</t>
  </si>
  <si>
    <t xml:space="preserve">Liability cap</t>
  </si>
  <si>
    <t xml:space="preserve">x trailing 12m Charges (input)</t>
  </si>
  <si>
    <t xml:space="preserve">Supply super-cap</t>
  </si>
  <si>
    <t xml:space="preserve">GBP (input)</t>
  </si>
  <si>
    <t xml:space="preserve">Advance payment %</t>
  </si>
  <si>
    <t xml:space="preserve">of Supply Price on signature (input)</t>
  </si>
  <si>
    <t xml:space="preserve">Supply Price Milestone Schedule (executed)</t>
  </si>
  <si>
    <t xml:space="preserve">Milestone</t>
  </si>
  <si>
    <t xml:space="preserve">% of Supply Price</t>
  </si>
  <si>
    <t xml:space="preserve">Amount (GBP)</t>
  </si>
  <si>
    <t xml:space="preserve">Cumulative (GBP)</t>
  </si>
  <si>
    <t xml:space="preserve">Signature (advance payment)</t>
  </si>
  <si>
    <t xml:space="preserve">Cells and PCS ordered</t>
  </si>
  <si>
    <t xml:space="preserve">Delivery to Site</t>
  </si>
  <si>
    <t xml:space="preserve">Mechanical completion</t>
  </si>
  <si>
    <t xml:space="preserve">Commercial Operation Date</t>
  </si>
  <si>
    <t xml:space="preserve">End of Defects Liability Period (retention)</t>
  </si>
  <si>
    <t xml:space="preserve">Total Supply Price</t>
  </si>
  <si>
    <t xml:space="preserve">Recurring Charges over 7-year LTSA term (CPI-indexed)</t>
  </si>
  <si>
    <t xml:space="preserve">Contract Year</t>
  </si>
  <si>
    <t xml:space="preserve">Licence Fee (GBP)</t>
  </si>
  <si>
    <t xml:space="preserve">Service Charge (GBP)</t>
  </si>
  <si>
    <t xml:space="preserve">Annual recurring (GBP)</t>
  </si>
  <si>
    <t xml:space="preserve">Cumulative recurring (GBP)</t>
  </si>
  <si>
    <t xml:space="preserve">Avail. LD cap (GBP)</t>
  </si>
  <si>
    <t xml:space="preserve">Total (7 yrs)</t>
  </si>
  <si>
    <t xml:space="preserve">Total Contract Value summary</t>
  </si>
  <si>
    <t xml:space="preserve">Component</t>
  </si>
  <si>
    <t xml:space="preserve">Supply Price (capital)</t>
  </si>
  <si>
    <t xml:space="preserve">Total Licence Fees (7 yrs)</t>
  </si>
  <si>
    <t xml:space="preserve">Total Service Charges (7 yrs)</t>
  </si>
  <si>
    <t xml:space="preserve">Total Contract Value (7-yr)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</si>
</sst>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£#,##0;&quot;(£&quot;#,##0\);\-"/>
    <numFmt numFmtId="167" formatCode="0.00%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0F0"/>
        <bgColor rgb="FFCCFFFF"/>
      </patternFill>
    </fill>
    <fill>
      <patternFill patternType="solid">
        <fgColor rgb="FF2E4A7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5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80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160</v>
      </c>
      <c r="C7" s="7" t="s">
        <v>9</v>
      </c>
    </row>
    <row r="8" customFormat="false" ht="15" hidden="false" customHeight="false" outlineLevel="0" collapsed="false">
      <c r="A8" s="5" t="s">
        <v>10</v>
      </c>
      <c r="B8" s="8" t="n">
        <v>390000</v>
      </c>
      <c r="C8" s="7" t="s">
        <v>11</v>
      </c>
    </row>
    <row r="9" customFormat="false" ht="15" hidden="false" customHeight="false" outlineLevel="0" collapsed="false">
      <c r="A9" s="5" t="s">
        <v>12</v>
      </c>
      <c r="B9" s="9" t="n">
        <f aca="false">B7*B8</f>
        <v>62400000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8" t="n">
        <v>840000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8" t="n">
        <v>1950000</v>
      </c>
      <c r="C11" s="7" t="s">
        <v>15</v>
      </c>
    </row>
    <row r="12" customFormat="false" ht="15" hidden="false" customHeight="false" outlineLevel="0" collapsed="false">
      <c r="A12" s="5" t="s">
        <v>17</v>
      </c>
      <c r="B12" s="10" t="n">
        <v>0.03</v>
      </c>
      <c r="C12" s="7" t="s">
        <v>18</v>
      </c>
    </row>
    <row r="13" customFormat="false" ht="15" hidden="false" customHeight="false" outlineLevel="0" collapsed="false">
      <c r="A13" s="5" t="s">
        <v>19</v>
      </c>
      <c r="B13" s="6" t="n">
        <v>7</v>
      </c>
      <c r="C13" s="7" t="s">
        <v>20</v>
      </c>
    </row>
    <row r="14" customFormat="false" ht="15" hidden="false" customHeight="false" outlineLevel="0" collapsed="false">
      <c r="A14" s="5" t="s">
        <v>21</v>
      </c>
      <c r="B14" s="10" t="n">
        <v>0.9775</v>
      </c>
      <c r="C14" s="7" t="s">
        <v>22</v>
      </c>
    </row>
    <row r="15" customFormat="false" ht="15" hidden="false" customHeight="false" outlineLevel="0" collapsed="false">
      <c r="A15" s="5" t="s">
        <v>23</v>
      </c>
      <c r="B15" s="10" t="n">
        <v>0.1</v>
      </c>
      <c r="C15" s="7" t="s">
        <v>24</v>
      </c>
    </row>
    <row r="16" customFormat="false" ht="15" hidden="false" customHeight="false" outlineLevel="0" collapsed="false">
      <c r="A16" s="5" t="s">
        <v>25</v>
      </c>
      <c r="B16" s="11" t="n">
        <v>1.35</v>
      </c>
      <c r="C16" s="7" t="s">
        <v>26</v>
      </c>
    </row>
    <row r="17" customFormat="false" ht="15" hidden="false" customHeight="false" outlineLevel="0" collapsed="false">
      <c r="A17" s="5" t="s">
        <v>27</v>
      </c>
      <c r="B17" s="8" t="n">
        <v>17500000</v>
      </c>
      <c r="C17" s="7" t="s">
        <v>28</v>
      </c>
    </row>
    <row r="18" customFormat="false" ht="15" hidden="false" customHeight="false" outlineLevel="0" collapsed="false">
      <c r="A18" s="5" t="s">
        <v>29</v>
      </c>
      <c r="B18" s="10" t="n">
        <v>0.1</v>
      </c>
      <c r="C18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2" t="s">
        <v>31</v>
      </c>
    </row>
    <row r="3" customFormat="false" ht="15" hidden="false" customHeight="false" outlineLevel="0" collapsed="false">
      <c r="A3" s="13" t="s">
        <v>32</v>
      </c>
      <c r="B3" s="13" t="s">
        <v>33</v>
      </c>
      <c r="C3" s="13" t="s">
        <v>34</v>
      </c>
      <c r="D3" s="13" t="s">
        <v>35</v>
      </c>
    </row>
    <row r="4" customFormat="false" ht="15" hidden="false" customHeight="false" outlineLevel="0" collapsed="false">
      <c r="A4" s="7" t="s">
        <v>36</v>
      </c>
      <c r="B4" s="10" t="n">
        <v>0.1</v>
      </c>
      <c r="C4" s="14" t="n">
        <f aca="false">B4*Assumptions!$B$9</f>
        <v>6240000</v>
      </c>
      <c r="D4" s="14" t="n">
        <f aca="false">C4</f>
        <v>6240000</v>
      </c>
    </row>
    <row r="5" customFormat="false" ht="15" hidden="false" customHeight="false" outlineLevel="0" collapsed="false">
      <c r="A5" s="7" t="s">
        <v>37</v>
      </c>
      <c r="B5" s="10" t="n">
        <v>0.25</v>
      </c>
      <c r="C5" s="14" t="n">
        <f aca="false">B5*Assumptions!$B$9</f>
        <v>15600000</v>
      </c>
      <c r="D5" s="14" t="n">
        <f aca="false">D4+C5</f>
        <v>21840000</v>
      </c>
    </row>
    <row r="6" customFormat="false" ht="15" hidden="false" customHeight="false" outlineLevel="0" collapsed="false">
      <c r="A6" s="7" t="s">
        <v>38</v>
      </c>
      <c r="B6" s="10" t="n">
        <v>0.25</v>
      </c>
      <c r="C6" s="14" t="n">
        <f aca="false">B6*Assumptions!$B$9</f>
        <v>15600000</v>
      </c>
      <c r="D6" s="14" t="n">
        <f aca="false">D5+C6</f>
        <v>37440000</v>
      </c>
    </row>
    <row r="7" customFormat="false" ht="15" hidden="false" customHeight="false" outlineLevel="0" collapsed="false">
      <c r="A7" s="7" t="s">
        <v>39</v>
      </c>
      <c r="B7" s="10" t="n">
        <v>0.2</v>
      </c>
      <c r="C7" s="14" t="n">
        <f aca="false">B7*Assumptions!$B$9</f>
        <v>12480000</v>
      </c>
      <c r="D7" s="14" t="n">
        <f aca="false">D6+C7</f>
        <v>49920000</v>
      </c>
    </row>
    <row r="8" customFormat="false" ht="15" hidden="false" customHeight="false" outlineLevel="0" collapsed="false">
      <c r="A8" s="7" t="s">
        <v>40</v>
      </c>
      <c r="B8" s="10" t="n">
        <v>0.15</v>
      </c>
      <c r="C8" s="14" t="n">
        <f aca="false">B8*Assumptions!$B$9</f>
        <v>9360000</v>
      </c>
      <c r="D8" s="14" t="n">
        <f aca="false">D7+C8</f>
        <v>59280000</v>
      </c>
    </row>
    <row r="9" customFormat="false" ht="15" hidden="false" customHeight="false" outlineLevel="0" collapsed="false">
      <c r="A9" s="7" t="s">
        <v>41</v>
      </c>
      <c r="B9" s="10" t="n">
        <v>0.05</v>
      </c>
      <c r="C9" s="14" t="n">
        <f aca="false">B9*Assumptions!$B$9</f>
        <v>3120000</v>
      </c>
      <c r="D9" s="14" t="n">
        <f aca="false">D8+C9</f>
        <v>62400000</v>
      </c>
    </row>
    <row r="10" customFormat="false" ht="15" hidden="false" customHeight="false" outlineLevel="0" collapsed="false">
      <c r="A10" s="4" t="s">
        <v>42</v>
      </c>
      <c r="B10" s="15" t="n">
        <f aca="false">SUM(B4:B9)</f>
        <v>1</v>
      </c>
      <c r="C10" s="16" t="n">
        <f aca="false">SUM(C4:C9)</f>
        <v>62400000</v>
      </c>
      <c r="D10" s="16" t="n">
        <f aca="false">C10</f>
        <v>62400000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0"/>
  </cols>
  <sheetData>
    <row r="1" customFormat="false" ht="16.15" hidden="false" customHeight="false" outlineLevel="0" collapsed="false">
      <c r="A1" s="12" t="s">
        <v>43</v>
      </c>
    </row>
    <row r="3" customFormat="false" ht="15" hidden="false" customHeight="false" outlineLevel="0" collapsed="false">
      <c r="A3" s="13" t="s">
        <v>44</v>
      </c>
      <c r="B3" s="13" t="s">
        <v>45</v>
      </c>
      <c r="C3" s="13" t="s">
        <v>46</v>
      </c>
      <c r="D3" s="13" t="s">
        <v>47</v>
      </c>
      <c r="E3" s="13" t="s">
        <v>48</v>
      </c>
      <c r="F3" s="13" t="s">
        <v>49</v>
      </c>
    </row>
    <row r="4" customFormat="false" ht="15" hidden="false" customHeight="false" outlineLevel="0" collapsed="false">
      <c r="A4" s="17" t="n">
        <v>1</v>
      </c>
      <c r="B4" s="14" t="n">
        <f aca="false">Assumptions!$B$10</f>
        <v>840000</v>
      </c>
      <c r="C4" s="14" t="n">
        <f aca="false">Assumptions!$B$11</f>
        <v>1950000</v>
      </c>
      <c r="D4" s="14" t="n">
        <f aca="false">B4+C4</f>
        <v>2790000</v>
      </c>
      <c r="E4" s="14" t="n">
        <f aca="false">D4</f>
        <v>2790000</v>
      </c>
      <c r="F4" s="14" t="n">
        <f aca="false">C4*Assumptions!$B$15</f>
        <v>195000</v>
      </c>
    </row>
    <row r="5" customFormat="false" ht="15" hidden="false" customHeight="false" outlineLevel="0" collapsed="false">
      <c r="A5" s="17" t="n">
        <v>2</v>
      </c>
      <c r="B5" s="14" t="n">
        <f aca="false">B4*(1+Assumptions!$B$12)</f>
        <v>865200</v>
      </c>
      <c r="C5" s="14" t="n">
        <f aca="false">C4*(1+Assumptions!$B$12)</f>
        <v>2008500</v>
      </c>
      <c r="D5" s="14" t="n">
        <f aca="false">B5+C5</f>
        <v>2873700</v>
      </c>
      <c r="E5" s="14" t="n">
        <f aca="false">E4+D5</f>
        <v>5663700</v>
      </c>
      <c r="F5" s="14" t="n">
        <f aca="false">C5*Assumptions!$B$15</f>
        <v>200850</v>
      </c>
    </row>
    <row r="6" customFormat="false" ht="15" hidden="false" customHeight="false" outlineLevel="0" collapsed="false">
      <c r="A6" s="17" t="n">
        <v>3</v>
      </c>
      <c r="B6" s="14" t="n">
        <f aca="false">B5*(1+Assumptions!$B$12)</f>
        <v>891156</v>
      </c>
      <c r="C6" s="14" t="n">
        <f aca="false">C5*(1+Assumptions!$B$12)</f>
        <v>2068755</v>
      </c>
      <c r="D6" s="14" t="n">
        <f aca="false">B6+C6</f>
        <v>2959911</v>
      </c>
      <c r="E6" s="14" t="n">
        <f aca="false">E5+D6</f>
        <v>8623611</v>
      </c>
      <c r="F6" s="14" t="n">
        <f aca="false">C6*Assumptions!$B$15</f>
        <v>206875.5</v>
      </c>
    </row>
    <row r="7" customFormat="false" ht="15" hidden="false" customHeight="false" outlineLevel="0" collapsed="false">
      <c r="A7" s="17" t="n">
        <v>4</v>
      </c>
      <c r="B7" s="14" t="n">
        <f aca="false">B6*(1+Assumptions!$B$12)</f>
        <v>917890.68</v>
      </c>
      <c r="C7" s="14" t="n">
        <f aca="false">C6*(1+Assumptions!$B$12)</f>
        <v>2130817.65</v>
      </c>
      <c r="D7" s="14" t="n">
        <f aca="false">B7+C7</f>
        <v>3048708.33</v>
      </c>
      <c r="E7" s="14" t="n">
        <f aca="false">E6+D7</f>
        <v>11672319.33</v>
      </c>
      <c r="F7" s="14" t="n">
        <f aca="false">C7*Assumptions!$B$15</f>
        <v>213081.765</v>
      </c>
    </row>
    <row r="8" customFormat="false" ht="15" hidden="false" customHeight="false" outlineLevel="0" collapsed="false">
      <c r="A8" s="17" t="n">
        <v>5</v>
      </c>
      <c r="B8" s="14" t="n">
        <f aca="false">B7*(1+Assumptions!$B$12)</f>
        <v>945427.4004</v>
      </c>
      <c r="C8" s="14" t="n">
        <f aca="false">C7*(1+Assumptions!$B$12)</f>
        <v>2194742.1795</v>
      </c>
      <c r="D8" s="14" t="n">
        <f aca="false">B8+C8</f>
        <v>3140169.5799</v>
      </c>
      <c r="E8" s="14" t="n">
        <f aca="false">E7+D8</f>
        <v>14812488.9099</v>
      </c>
      <c r="F8" s="14" t="n">
        <f aca="false">C8*Assumptions!$B$15</f>
        <v>219474.21795</v>
      </c>
    </row>
    <row r="9" customFormat="false" ht="15" hidden="false" customHeight="false" outlineLevel="0" collapsed="false">
      <c r="A9" s="17" t="n">
        <v>6</v>
      </c>
      <c r="B9" s="14" t="n">
        <f aca="false">B8*(1+Assumptions!$B$12)</f>
        <v>973790.222412</v>
      </c>
      <c r="C9" s="14" t="n">
        <f aca="false">C8*(1+Assumptions!$B$12)</f>
        <v>2260584.444885</v>
      </c>
      <c r="D9" s="14" t="n">
        <f aca="false">B9+C9</f>
        <v>3234374.667297</v>
      </c>
      <c r="E9" s="14" t="n">
        <f aca="false">E8+D9</f>
        <v>18046863.577197</v>
      </c>
      <c r="F9" s="14" t="n">
        <f aca="false">C9*Assumptions!$B$15</f>
        <v>226058.4444885</v>
      </c>
    </row>
    <row r="10" customFormat="false" ht="15" hidden="false" customHeight="false" outlineLevel="0" collapsed="false">
      <c r="A10" s="17" t="n">
        <v>7</v>
      </c>
      <c r="B10" s="14" t="n">
        <f aca="false">B9*(1+Assumptions!$B$12)</f>
        <v>1003003.92908436</v>
      </c>
      <c r="C10" s="14" t="n">
        <f aca="false">C9*(1+Assumptions!$B$12)</f>
        <v>2328401.97823155</v>
      </c>
      <c r="D10" s="14" t="n">
        <f aca="false">B10+C10</f>
        <v>3331405.90731591</v>
      </c>
      <c r="E10" s="14" t="n">
        <f aca="false">E9+D10</f>
        <v>21378269.4845129</v>
      </c>
      <c r="F10" s="14" t="n">
        <f aca="false">C10*Assumptions!$B$15</f>
        <v>232840.197823155</v>
      </c>
    </row>
    <row r="11" customFormat="false" ht="15" hidden="false" customHeight="false" outlineLevel="0" collapsed="false">
      <c r="A11" s="4" t="s">
        <v>50</v>
      </c>
      <c r="B11" s="16" t="n">
        <f aca="false">SUM(B4:B10)</f>
        <v>6436468.23189636</v>
      </c>
      <c r="C11" s="16" t="n">
        <f aca="false">SUM(C4:C10)</f>
        <v>14941801.2526166</v>
      </c>
      <c r="D11" s="16" t="n">
        <f aca="false">SUM(D4:D10)</f>
        <v>21378269.4845129</v>
      </c>
      <c r="E11" s="16" t="n">
        <f aca="false">E10</f>
        <v>21378269.4845129</v>
      </c>
      <c r="F11" s="16" t="n">
        <f aca="false">SUM(F4:F10)</f>
        <v>1494180.12526166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2" t="s">
        <v>51</v>
      </c>
    </row>
    <row r="3" customFormat="false" ht="15" hidden="false" customHeight="false" outlineLevel="0" collapsed="false">
      <c r="A3" s="13" t="s">
        <v>52</v>
      </c>
      <c r="B3" s="13" t="s">
        <v>34</v>
      </c>
    </row>
    <row r="4" customFormat="false" ht="15" hidden="false" customHeight="false" outlineLevel="0" collapsed="false">
      <c r="A4" s="7" t="s">
        <v>53</v>
      </c>
      <c r="B4" s="14" t="n">
        <f aca="false">Assumptions!B9</f>
        <v>62400000</v>
      </c>
    </row>
    <row r="5" customFormat="false" ht="15" hidden="false" customHeight="false" outlineLevel="0" collapsed="false">
      <c r="A5" s="7" t="s">
        <v>54</v>
      </c>
      <c r="B5" s="14" t="n">
        <f aca="false">LTSA_Charges!B11</f>
        <v>6436468.23189636</v>
      </c>
    </row>
    <row r="6" customFormat="false" ht="15" hidden="false" customHeight="false" outlineLevel="0" collapsed="false">
      <c r="A6" s="7" t="s">
        <v>55</v>
      </c>
      <c r="B6" s="14" t="n">
        <f aca="false">LTSA_Charges!C11</f>
        <v>14941801.2526166</v>
      </c>
    </row>
    <row r="7" customFormat="false" ht="15" hidden="false" customHeight="false" outlineLevel="0" collapsed="false">
      <c r="A7" s="4" t="s">
        <v>56</v>
      </c>
      <c r="B7" s="16" t="n">
        <f aca="false">SUM(B4:B6)</f>
        <v>83778269.4845129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2026-06-28T19:36:26Z</dcterms:created>
  <dc:creator>openpyxl</dc:creator>
  <dc:description/>
  <dc:language>en-US</dc:language>
  <cp:lastModifiedBy/>
  <dcterms:modified xsi:type="dcterms:W3CDTF">2026-06-28T19:36:26Z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