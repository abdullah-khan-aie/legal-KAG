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<sst xmlns="http://schemas.openxmlformats.org/spreadsheetml/2006/main" count="34" uniqueCount="31">
  <si>
    <t xml:space="preserve">Verdant Energy Systems Limited — Project Onyx</t>
  </si>
  <si>
    <t xml:space="preserve">Series B Capitalisation Table — Pre-money and Post-money (fully diluted)</t>
  </si>
  <si>
    <t xml:space="preserve">Price per Series B Share: £12.00  |  New investment: £24,000,000  |  Post-money: £96,000,000</t>
  </si>
  <si>
    <t xml:space="preserve">Shareholder</t>
  </si>
  <si>
    <t xml:space="preserve">Class</t>
  </si>
  <si>
    <t xml:space="preserve">Pre Shares</t>
  </si>
  <si>
    <t xml:space="preserve">Pre %</t>
  </si>
  <si>
    <t xml:space="preserve">New Series B Shares</t>
  </si>
  <si>
    <t xml:space="preserve">Post Shares</t>
  </si>
  <si>
    <t xml:space="preserve">Post %</t>
  </si>
  <si>
    <t xml:space="preserve">Dr Helena Voss</t>
  </si>
  <si>
    <t xml:space="preserve">Ordinary</t>
  </si>
  <si>
    <t xml:space="preserve">Marcus Calder</t>
  </si>
  <si>
    <t xml:space="preserve">Ravensworth Ventures LLP</t>
  </si>
  <si>
    <t xml:space="preserve">Series A</t>
  </si>
  <si>
    <t xml:space="preserve">Aldridge Seed LP</t>
  </si>
  <si>
    <t xml:space="preserve">EMI Option Pool (existing, granted)</t>
  </si>
  <si>
    <t xml:space="preserve">Options</t>
  </si>
  <si>
    <t xml:space="preserve">EMI Option Pool (new, top-up)</t>
  </si>
  <si>
    <t xml:space="preserve">Calderbrook Growth Partners LLP</t>
  </si>
  <si>
    <t xml:space="preserve">Series B</t>
  </si>
  <si>
    <t xml:space="preserve">Total (fully diluted)</t>
  </si>
  <si>
    <t xml:space="preserve">Checks</t>
  </si>
  <si>
    <t xml:space="preserve">Pre-money FD shares</t>
  </si>
  <si>
    <t xml:space="preserve">New Series B shares</t>
  </si>
  <si>
    <t xml:space="preserve">Post-money FD shares</t>
  </si>
  <si>
    <t xml:space="preserve">Implied price / share (£)</t>
  </si>
  <si>
    <t xml:space="preserve">Pre-money valuation (£)</t>
  </si>
  <si>
    <t xml:space="preserve">New investment (£)</t>
  </si>
  <si>
    <t xml:space="preserve">Post-money valuation (£)</t>
  </si>
  <si>
    <t xml:space="preserve">Investor stake (Series B post %)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</si>
</sst>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0%"/>
    <numFmt numFmtId="167" formatCode="\£#,##0.00"/>
    <numFmt numFmtId="168" formatCode="\£#,##0;&quot;(£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FEF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7" min="6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5" t="s">
        <v>11</v>
      </c>
      <c r="C6" s="6" t="n">
        <v>1800000</v>
      </c>
      <c r="D6" s="7" t="n">
        <f aca="false">C6/$C$13</f>
        <v>0.3</v>
      </c>
      <c r="E6" s="8" t="n">
        <v>0</v>
      </c>
      <c r="F6" s="9" t="n">
        <f aca="false">C6+E6</f>
        <v>1800000</v>
      </c>
      <c r="G6" s="7" t="n">
        <f aca="false">F6/$F$13</f>
        <v>0.225</v>
      </c>
    </row>
    <row r="7" customFormat="false" ht="15" hidden="false" customHeight="false" outlineLevel="0" collapsed="false">
      <c r="A7" s="5" t="s">
        <v>12</v>
      </c>
      <c r="B7" s="5" t="s">
        <v>11</v>
      </c>
      <c r="C7" s="6" t="n">
        <v>1200000</v>
      </c>
      <c r="D7" s="7" t="n">
        <f aca="false">C7/$C$13</f>
        <v>0.2</v>
      </c>
      <c r="E7" s="8" t="n">
        <v>0</v>
      </c>
      <c r="F7" s="9" t="n">
        <f aca="false">C7+E7</f>
        <v>1200000</v>
      </c>
      <c r="G7" s="7" t="n">
        <f aca="false">F7/$F$13</f>
        <v>0.15</v>
      </c>
    </row>
    <row r="8" customFormat="false" ht="15" hidden="false" customHeight="false" outlineLevel="0" collapsed="false">
      <c r="A8" s="5" t="s">
        <v>13</v>
      </c>
      <c r="B8" s="5" t="s">
        <v>14</v>
      </c>
      <c r="C8" s="6" t="n">
        <v>1000000</v>
      </c>
      <c r="D8" s="7" t="n">
        <f aca="false">C8/$C$13</f>
        <v>0.166666666666667</v>
      </c>
      <c r="E8" s="6" t="n">
        <v>500000</v>
      </c>
      <c r="F8" s="9" t="n">
        <f aca="false">C8+E8</f>
        <v>1500000</v>
      </c>
      <c r="G8" s="7" t="n">
        <f aca="false">F8/$F$13</f>
        <v>0.1875</v>
      </c>
    </row>
    <row r="9" customFormat="false" ht="15" hidden="false" customHeight="false" outlineLevel="0" collapsed="false">
      <c r="A9" s="5" t="s">
        <v>15</v>
      </c>
      <c r="B9" s="5" t="s">
        <v>14</v>
      </c>
      <c r="C9" s="6" t="n">
        <v>420000</v>
      </c>
      <c r="D9" s="7" t="n">
        <f aca="false">C9/$C$13</f>
        <v>0.07</v>
      </c>
      <c r="E9" s="8" t="n">
        <v>0</v>
      </c>
      <c r="F9" s="9" t="n">
        <f aca="false">C9+E9</f>
        <v>420000</v>
      </c>
      <c r="G9" s="7" t="n">
        <f aca="false">F9/$F$13</f>
        <v>0.0525</v>
      </c>
    </row>
    <row r="10" customFormat="false" ht="15" hidden="false" customHeight="false" outlineLevel="0" collapsed="false">
      <c r="A10" s="5" t="s">
        <v>16</v>
      </c>
      <c r="B10" s="5" t="s">
        <v>17</v>
      </c>
      <c r="C10" s="6" t="n">
        <v>480000</v>
      </c>
      <c r="D10" s="7" t="n">
        <f aca="false">C10/$C$13</f>
        <v>0.08</v>
      </c>
      <c r="E10" s="8" t="n">
        <v>0</v>
      </c>
      <c r="F10" s="9" t="n">
        <f aca="false">C10+E10</f>
        <v>480000</v>
      </c>
      <c r="G10" s="7" t="n">
        <f aca="false">F10/$F$13</f>
        <v>0.06</v>
      </c>
    </row>
    <row r="11" customFormat="false" ht="15" hidden="false" customHeight="false" outlineLevel="0" collapsed="false">
      <c r="A11" s="5" t="s">
        <v>18</v>
      </c>
      <c r="B11" s="5" t="s">
        <v>17</v>
      </c>
      <c r="C11" s="6" t="n">
        <v>1100000</v>
      </c>
      <c r="D11" s="7" t="n">
        <f aca="false">C11/$C$13</f>
        <v>0.183333333333333</v>
      </c>
      <c r="E11" s="8" t="n">
        <v>0</v>
      </c>
      <c r="F11" s="9" t="n">
        <f aca="false">C11+E11</f>
        <v>1100000</v>
      </c>
      <c r="G11" s="7" t="n">
        <f aca="false">F11/$F$13</f>
        <v>0.1375</v>
      </c>
    </row>
    <row r="12" customFormat="false" ht="15" hidden="false" customHeight="false" outlineLevel="0" collapsed="false">
      <c r="A12" s="5" t="s">
        <v>19</v>
      </c>
      <c r="B12" s="5" t="s">
        <v>20</v>
      </c>
      <c r="C12" s="6" t="n">
        <v>0</v>
      </c>
      <c r="D12" s="7" t="n">
        <f aca="false">C12/$C$13</f>
        <v>0</v>
      </c>
      <c r="E12" s="6" t="n">
        <v>1500000</v>
      </c>
      <c r="F12" s="9" t="n">
        <f aca="false">C12+E12</f>
        <v>1500000</v>
      </c>
      <c r="G12" s="7" t="n">
        <f aca="false">F12/$F$13</f>
        <v>0.1875</v>
      </c>
    </row>
    <row r="13" customFormat="false" ht="15" hidden="false" customHeight="false" outlineLevel="0" collapsed="false">
      <c r="A13" s="10" t="s">
        <v>21</v>
      </c>
      <c r="B13" s="10"/>
      <c r="C13" s="11" t="n">
        <f aca="false">SUM(C6:C12)</f>
        <v>6000000</v>
      </c>
      <c r="D13" s="12" t="n">
        <f aca="false">SUM(D6:D12)</f>
        <v>1</v>
      </c>
      <c r="E13" s="11" t="n">
        <f aca="false">SUM(E6:E12)</f>
        <v>2000000</v>
      </c>
      <c r="F13" s="11" t="n">
        <f aca="false">SUM(F6:F12)</f>
        <v>8000000</v>
      </c>
      <c r="G13" s="12" t="n">
        <f aca="false">SUM(G6:G12)</f>
        <v>1</v>
      </c>
    </row>
    <row r="15" customFormat="false" ht="15" hidden="false" customHeight="false" outlineLevel="0" collapsed="false">
      <c r="A15" s="13" t="s">
        <v>22</v>
      </c>
    </row>
    <row r="16" customFormat="false" ht="15" hidden="false" customHeight="false" outlineLevel="0" collapsed="false">
      <c r="A16" s="0" t="s">
        <v>23</v>
      </c>
      <c r="E16" s="14" t="n">
        <f aca="false">C13</f>
        <v>6000000</v>
      </c>
    </row>
    <row r="17" customFormat="false" ht="15" hidden="false" customHeight="false" outlineLevel="0" collapsed="false">
      <c r="A17" s="0" t="s">
        <v>24</v>
      </c>
      <c r="E17" s="14" t="n">
        <f aca="false">E13</f>
        <v>2000000</v>
      </c>
    </row>
    <row r="18" customFormat="false" ht="15" hidden="false" customHeight="false" outlineLevel="0" collapsed="false">
      <c r="A18" s="0" t="s">
        <v>25</v>
      </c>
      <c r="E18" s="14" t="n">
        <f aca="false">F13</f>
        <v>8000000</v>
      </c>
    </row>
    <row r="19" customFormat="false" ht="15" hidden="false" customHeight="false" outlineLevel="0" collapsed="false">
      <c r="A19" s="0" t="s">
        <v>26</v>
      </c>
      <c r="E19" s="15" t="n">
        <v>12</v>
      </c>
    </row>
    <row r="20" customFormat="false" ht="15" hidden="false" customHeight="false" outlineLevel="0" collapsed="false">
      <c r="A20" s="0" t="s">
        <v>27</v>
      </c>
      <c r="E20" s="16" t="n">
        <f aca="false">C13*E19</f>
        <v>72000000</v>
      </c>
    </row>
    <row r="21" customFormat="false" ht="15" hidden="false" customHeight="false" outlineLevel="0" collapsed="false">
      <c r="A21" s="0" t="s">
        <v>28</v>
      </c>
      <c r="E21" s="16" t="n">
        <f aca="false">E13*E19</f>
        <v>24000000</v>
      </c>
    </row>
    <row r="22" customFormat="false" ht="15" hidden="false" customHeight="false" outlineLevel="0" collapsed="false">
      <c r="A22" s="0" t="s">
        <v>29</v>
      </c>
      <c r="E22" s="16" t="n">
        <f aca="false">F13*E19</f>
        <v>96000000</v>
      </c>
    </row>
    <row r="23" customFormat="false" ht="15" hidden="false" customHeight="false" outlineLevel="0" collapsed="false">
      <c r="A23" s="0" t="s">
        <v>30</v>
      </c>
      <c r="E23" s="17" t="n">
        <f aca="false">E13/F13</f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2026-06-25T15:47:31Z</dcterms:created>
  <dc:creator>openpyxl</dc:creator>
  <dc:description/>
  <dc:language>en-US</dc:language>
  <cp:lastModifiedBy/>
  <dcterms:modified xsi:type="dcterms:W3CDTF">2026-06-25T15:47:31Z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