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<sst xmlns="http://schemas.openxmlformats.org/spreadsheetml/2006/main" count="29" uniqueCount="27">
  <si>
    <t xml:space="preserve">Verdant Energy Systems Limited — Project Onyx</t>
  </si>
  <si>
    <t xml:space="preserve">Series B Completion Funds Flow Statement</t>
  </si>
  <si>
    <t xml:space="preserve">All amounts in GBP (£). Completion account: Whitfield Carter LLP client account.</t>
  </si>
  <si>
    <t xml:space="preserve">SOURCES OF FUNDS</t>
  </si>
  <si>
    <t xml:space="preserve">Source</t>
  </si>
  <si>
    <t xml:space="preserve">Detail</t>
  </si>
  <si>
    <t xml:space="preserve">Amount (£)</t>
  </si>
  <si>
    <t xml:space="preserve">Calderbrook Growth Partners LLP</t>
  </si>
  <si>
    <t xml:space="preserve">1,500,000 Series B @ £12.00</t>
  </si>
  <si>
    <t xml:space="preserve">Ravensworth Ventures LLP</t>
  </si>
  <si>
    <t xml:space="preserve">500,000 Series B @ £12.00</t>
  </si>
  <si>
    <t xml:space="preserve">Total Sources</t>
  </si>
  <si>
    <t xml:space="preserve">USES OF FUNDS</t>
  </si>
  <si>
    <t xml:space="preserve">Payee / Application</t>
  </si>
  <si>
    <t xml:space="preserve">Whitfield Carter LLP</t>
  </si>
  <si>
    <t xml:space="preserve">Company legal fees (capped) inc. VAT</t>
  </si>
  <si>
    <t xml:space="preserve">Denham Lewis LLP</t>
  </si>
  <si>
    <t xml:space="preserve">Lead Investor legal fees (borne by Company, capped) inc. VAT</t>
  </si>
  <si>
    <t xml:space="preserve">Marlow Tax &amp; Advisory Ltd</t>
  </si>
  <si>
    <t xml:space="preserve">Financial &amp; tax due diligence inc. VAT</t>
  </si>
  <si>
    <t xml:space="preserve">Companies House</t>
  </si>
  <si>
    <t xml:space="preserve">Filing fees</t>
  </si>
  <si>
    <t xml:space="preserve">Verdant Energy Systems Limited</t>
  </si>
  <si>
    <t xml:space="preserve">Net subscription proceeds to Company</t>
  </si>
  <si>
    <t xml:space="preserve">Total Uses</t>
  </si>
  <si>
    <t xml:space="preserve">Check: Sources less Uses (must be nil)</t>
  </si>
  <si>
    <t xml:space="preserve">Net proceeds to Company (£)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</si>
</sst>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EC"/>
        <bgColor rgb="FFEFEFEF"/>
      </patternFill>
    </fill>
    <fill>
      <patternFill patternType="solid">
        <fgColor rgb="FFEFEFEF"/>
        <bgColor rgb="FFD9E2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  <c r="C5" s="4"/>
    </row>
    <row r="6" customFormat="false" ht="15" hidden="false" customHeight="false" outlineLevel="0" collapsed="false">
      <c r="A6" s="6" t="s">
        <v>4</v>
      </c>
      <c r="B6" s="6" t="s">
        <v>5</v>
      </c>
      <c r="C6" s="6" t="s">
        <v>6</v>
      </c>
    </row>
    <row r="7" customFormat="false" ht="15" hidden="false" customHeight="false" outlineLevel="0" collapsed="false">
      <c r="A7" s="7" t="s">
        <v>7</v>
      </c>
      <c r="B7" s="7" t="s">
        <v>8</v>
      </c>
      <c r="C7" s="8" t="n">
        <v>18000000</v>
      </c>
    </row>
    <row r="8" customFormat="false" ht="15" hidden="false" customHeight="false" outlineLevel="0" collapsed="false">
      <c r="A8" s="7" t="s">
        <v>9</v>
      </c>
      <c r="B8" s="7" t="s">
        <v>10</v>
      </c>
      <c r="C8" s="8" t="n">
        <v>6000000</v>
      </c>
    </row>
    <row r="9" customFormat="false" ht="15" hidden="false" customHeight="false" outlineLevel="0" collapsed="false">
      <c r="A9" s="9" t="s">
        <v>11</v>
      </c>
      <c r="B9" s="9"/>
      <c r="C9" s="10" t="n">
        <f aca="false">SUM(C7:C8)</f>
        <v>24000000</v>
      </c>
    </row>
    <row r="11" customFormat="false" ht="15" hidden="false" customHeight="false" outlineLevel="0" collapsed="false">
      <c r="A11" s="4" t="s">
        <v>12</v>
      </c>
      <c r="B11" s="5"/>
      <c r="C11" s="5"/>
    </row>
    <row r="12" customFormat="false" ht="15" hidden="false" customHeight="false" outlineLevel="0" collapsed="false">
      <c r="A12" s="6" t="s">
        <v>13</v>
      </c>
      <c r="B12" s="6" t="s">
        <v>5</v>
      </c>
      <c r="C12" s="6" t="s">
        <v>6</v>
      </c>
    </row>
    <row r="13" customFormat="false" ht="15" hidden="false" customHeight="false" outlineLevel="0" collapsed="false">
      <c r="A13" s="7" t="s">
        <v>14</v>
      </c>
      <c r="B13" s="7" t="s">
        <v>15</v>
      </c>
      <c r="C13" s="8" t="n">
        <v>96000</v>
      </c>
    </row>
    <row r="14" customFormat="false" ht="15" hidden="false" customHeight="false" outlineLevel="0" collapsed="false">
      <c r="A14" s="7" t="s">
        <v>16</v>
      </c>
      <c r="B14" s="7" t="s">
        <v>17</v>
      </c>
      <c r="C14" s="8" t="n">
        <v>90000</v>
      </c>
    </row>
    <row r="15" customFormat="false" ht="15" hidden="false" customHeight="false" outlineLevel="0" collapsed="false">
      <c r="A15" s="7" t="s">
        <v>18</v>
      </c>
      <c r="B15" s="7" t="s">
        <v>19</v>
      </c>
      <c r="C15" s="8" t="n">
        <v>27600</v>
      </c>
    </row>
    <row r="16" customFormat="false" ht="15" hidden="false" customHeight="false" outlineLevel="0" collapsed="false">
      <c r="A16" s="7" t="s">
        <v>20</v>
      </c>
      <c r="B16" s="7" t="s">
        <v>21</v>
      </c>
      <c r="C16" s="8" t="n">
        <v>480</v>
      </c>
    </row>
    <row r="17" customFormat="false" ht="15" hidden="false" customHeight="false" outlineLevel="0" collapsed="false">
      <c r="A17" s="7" t="s">
        <v>22</v>
      </c>
      <c r="B17" s="7" t="s">
        <v>23</v>
      </c>
      <c r="C17" s="11" t="n">
        <f aca="false">C9-SUM(C13:C16)</f>
        <v>23785920</v>
      </c>
    </row>
    <row r="18" customFormat="false" ht="15" hidden="false" customHeight="false" outlineLevel="0" collapsed="false">
      <c r="A18" s="9" t="s">
        <v>24</v>
      </c>
      <c r="B18" s="9"/>
      <c r="C18" s="10" t="n">
        <f aca="false">SUM(C13:C17)</f>
        <v>24000000</v>
      </c>
    </row>
    <row r="20" customFormat="false" ht="15" hidden="false" customHeight="false" outlineLevel="0" collapsed="false">
      <c r="A20" s="12" t="s">
        <v>25</v>
      </c>
      <c r="C20" s="13" t="n">
        <f aca="false">C9-C18</f>
        <v>0</v>
      </c>
    </row>
    <row r="21" customFormat="false" ht="15" hidden="false" customHeight="false" outlineLevel="0" collapsed="false">
      <c r="A21" s="0" t="s">
        <v>26</v>
      </c>
      <c r="C21" s="14" t="n">
        <f aca="false">C17</f>
        <v>23785920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2026-06-25T15:47:31Z</dcterms:created>
  <dc:creator>openpyxl</dc:creator>
  <dc:description/>
  <dc:language>en-US</dc:language>
  <cp:lastModifiedBy/>
  <dcterms:modified xsi:type="dcterms:W3CDTF">2026-06-25T15:47:31Z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