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s Model" sheetId="1" state="visible" r:id="rId1"/>
    <sheet xmlns:r="http://schemas.openxmlformats.org/officeDocument/2006/relationships" name="Site Allo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color rgb="00555555"/>
      <sz val="9"/>
    </font>
    <font>
      <b val="1"/>
    </font>
    <font>
      <b val="1"/>
      <color rgb="00FFFFFF"/>
    </font>
    <font>
      <b val="1"/>
      <sz val="12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55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2" borderId="1" applyAlignment="1" pivotButton="0" quotePrefix="0" xfId="0">
      <alignment horizontal="center"/>
    </xf>
    <xf numFmtId="0" fontId="4" fillId="0" borderId="1" pivotButton="0" quotePrefix="0" xfId="0"/>
    <xf numFmtId="164" fontId="0" fillId="0" borderId="1" pivotButton="0" quotePrefix="0" xfId="0"/>
    <xf numFmtId="164" fontId="4" fillId="0" borderId="1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4" customWidth="1" min="3" max="3"/>
    <col width="18" customWidth="1" min="4" max="4"/>
    <col width="20" customWidth="1" min="5" max="5"/>
    <col width="24" customWidth="1" min="6" max="6"/>
    <col width="18" customWidth="1" min="7" max="7"/>
  </cols>
  <sheetData>
    <row r="1">
      <c r="A1" s="1" t="inlineStr">
        <is>
          <t>Project Lyra — Charges &amp; 5-Year Fee Model</t>
        </is>
      </c>
    </row>
    <row r="2">
      <c r="A2" s="2" t="inlineStr">
        <is>
          <t>Verdant Energy Systems Limited  /  Pennland Water plc</t>
        </is>
      </c>
    </row>
    <row r="3">
      <c r="A3" s="3" t="inlineStr">
        <is>
          <t>All figures exclude VAT. Effective Date 1 January 2026. RPI uplift cap 4% p.a. (modelled at cap).</t>
        </is>
      </c>
    </row>
    <row r="5">
      <c r="A5" s="4" t="inlineStr">
        <is>
          <t>Assumptions</t>
        </is>
      </c>
    </row>
    <row r="6">
      <c r="A6" t="inlineStr">
        <is>
          <t>Implementation fee (one-off)</t>
        </is>
      </c>
      <c r="B6" s="5" t="n">
        <v>185000</v>
      </c>
    </row>
    <row r="7">
      <c r="A7" t="inlineStr">
        <is>
          <t>Annual Platform subscription (Year 1)</t>
        </is>
      </c>
      <c r="B7" s="5" t="n">
        <v>312000</v>
      </c>
    </row>
    <row r="8">
      <c r="A8" t="inlineStr">
        <is>
          <t>Annual managed-optimisation / O&amp;M (Year 1)</t>
        </is>
      </c>
      <c r="B8" s="5" t="n">
        <v>96000</v>
      </c>
    </row>
    <row r="9">
      <c r="A9" t="inlineStr">
        <is>
          <t>Shared-savings share (% of verified Energy Savings)</t>
        </is>
      </c>
      <c r="B9" t="inlineStr">
        <is>
          <t>18%</t>
        </is>
      </c>
    </row>
    <row r="10">
      <c r="A10" t="inlineStr">
        <is>
          <t>Annual uplift cap (RPI-linked)</t>
        </is>
      </c>
      <c r="B10" t="inlineStr">
        <is>
          <t>4%</t>
        </is>
      </c>
    </row>
    <row r="11">
      <c r="A11" t="inlineStr">
        <is>
          <t>Sites onboarded</t>
        </is>
      </c>
      <c r="B11" t="n">
        <v>11</v>
      </c>
    </row>
    <row r="12">
      <c r="A12" t="inlineStr">
        <is>
          <t>Battery storage under management (MW)</t>
        </is>
      </c>
      <c r="B12" t="n">
        <v>24</v>
      </c>
    </row>
    <row r="13">
      <c r="A13" t="inlineStr">
        <is>
          <t>Initial term (years)</t>
        </is>
      </c>
      <c r="B13" t="n">
        <v>5</v>
      </c>
    </row>
    <row r="16">
      <c r="A16" s="6" t="inlineStr">
        <is>
          <t>Year</t>
        </is>
      </c>
      <c r="B16" s="6" t="inlineStr">
        <is>
          <t>Subscription</t>
        </is>
      </c>
      <c r="C16" s="6" t="inlineStr">
        <is>
          <t>O&amp;M</t>
        </is>
      </c>
      <c r="D16" s="6" t="inlineStr">
        <is>
          <t>Subscription+O&amp;M</t>
        </is>
      </c>
      <c r="E16" s="6" t="inlineStr">
        <is>
          <t>Est. Energy Savings</t>
        </is>
      </c>
      <c r="F16" s="6" t="inlineStr">
        <is>
          <t>Shared-savings fee (18%)</t>
        </is>
      </c>
      <c r="G16" s="6" t="inlineStr">
        <is>
          <t>Total recurring</t>
        </is>
      </c>
    </row>
    <row r="17">
      <c r="A17" s="7" t="inlineStr">
        <is>
          <t>Year 1</t>
        </is>
      </c>
      <c r="B17" s="8" t="n">
        <v>312000</v>
      </c>
      <c r="C17" s="8" t="n">
        <v>96000</v>
      </c>
      <c r="D17" s="8" t="n">
        <v>408000</v>
      </c>
      <c r="E17" s="8" t="n">
        <v>420000</v>
      </c>
      <c r="F17" s="8" t="n">
        <v>75600</v>
      </c>
      <c r="G17" s="8" t="n">
        <v>483600</v>
      </c>
    </row>
    <row r="18">
      <c r="A18" s="7" t="inlineStr">
        <is>
          <t>Year 2</t>
        </is>
      </c>
      <c r="B18" s="8" t="n">
        <v>324480</v>
      </c>
      <c r="C18" s="8" t="n">
        <v>99840</v>
      </c>
      <c r="D18" s="8" t="n">
        <v>424320</v>
      </c>
      <c r="E18" s="8" t="n">
        <v>520000</v>
      </c>
      <c r="F18" s="8" t="n">
        <v>93600</v>
      </c>
      <c r="G18" s="8" t="n">
        <v>517920</v>
      </c>
    </row>
    <row r="19">
      <c r="A19" s="7" t="inlineStr">
        <is>
          <t>Year 3</t>
        </is>
      </c>
      <c r="B19" s="8" t="n">
        <v>337459</v>
      </c>
      <c r="C19" s="8" t="n">
        <v>103834</v>
      </c>
      <c r="D19" s="8" t="n">
        <v>441293</v>
      </c>
      <c r="E19" s="8" t="n">
        <v>560000</v>
      </c>
      <c r="F19" s="8" t="n">
        <v>100800</v>
      </c>
      <c r="G19" s="8" t="n">
        <v>542093</v>
      </c>
    </row>
    <row r="20">
      <c r="A20" s="7" t="inlineStr">
        <is>
          <t>Year 4</t>
        </is>
      </c>
      <c r="B20" s="8" t="n">
        <v>350957</v>
      </c>
      <c r="C20" s="8" t="n">
        <v>107987</v>
      </c>
      <c r="D20" s="8" t="n">
        <v>458944</v>
      </c>
      <c r="E20" s="8" t="n">
        <v>590000</v>
      </c>
      <c r="F20" s="8" t="n">
        <v>106200</v>
      </c>
      <c r="G20" s="8" t="n">
        <v>565144</v>
      </c>
    </row>
    <row r="21">
      <c r="A21" s="7" t="inlineStr">
        <is>
          <t>Year 5</t>
        </is>
      </c>
      <c r="B21" s="8" t="n">
        <v>364995</v>
      </c>
      <c r="C21" s="8" t="n">
        <v>112306</v>
      </c>
      <c r="D21" s="8" t="n">
        <v>477301</v>
      </c>
      <c r="E21" s="8" t="n">
        <v>610000</v>
      </c>
      <c r="F21" s="8" t="n">
        <v>109800</v>
      </c>
      <c r="G21" s="8" t="n">
        <v>587101</v>
      </c>
    </row>
    <row r="22">
      <c r="A22" s="4" t="inlineStr">
        <is>
          <t>5-yr total</t>
        </is>
      </c>
      <c r="B22" s="9">
        <f>SUM(B17:B21)</f>
        <v/>
      </c>
      <c r="C22" s="9">
        <f>SUM(C17:C21)</f>
        <v/>
      </c>
      <c r="D22" s="9">
        <f>SUM(D17:D21)</f>
        <v/>
      </c>
      <c r="E22" s="9">
        <f>SUM(E17:E21)</f>
        <v/>
      </c>
      <c r="F22" s="9">
        <f>SUM(F17:F21)</f>
        <v/>
      </c>
      <c r="G22" s="9">
        <f>SUM(G17:G21)</f>
        <v/>
      </c>
    </row>
    <row r="24">
      <c r="A24" s="4" t="inlineStr">
        <is>
          <t>Implementation fee (one-off)</t>
        </is>
      </c>
      <c r="B24" s="5" t="n">
        <v>185000</v>
      </c>
    </row>
    <row r="25">
      <c r="A25" s="4" t="inlineStr">
        <is>
          <t>5-yr recurring total (Subscription+O&amp;M+Shared-savings)</t>
        </is>
      </c>
      <c r="B25" s="5">
        <f>G22</f>
        <v/>
      </c>
    </row>
    <row r="26">
      <c r="A26" s="10" t="inlineStr">
        <is>
          <t>Total contract value over initial term</t>
        </is>
      </c>
      <c r="B26" s="11">
        <f>B24+B25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16" customWidth="1" min="4" max="4"/>
  </cols>
  <sheetData>
    <row r="1">
      <c r="A1" s="12" t="inlineStr">
        <is>
          <t>Implementation Fee Allocation by Site</t>
        </is>
      </c>
    </row>
    <row r="2">
      <c r="A2" s="3" t="inlineStr">
        <is>
          <t>Total implementation fee £185,000 allocated across 11 sites.</t>
        </is>
      </c>
    </row>
    <row r="4">
      <c r="A4" s="6" t="inlineStr">
        <is>
          <t>Site</t>
        </is>
      </c>
      <c r="B4" s="6" t="inlineStr">
        <is>
          <t>Battery (MW)</t>
        </is>
      </c>
      <c r="C4" s="6" t="inlineStr">
        <is>
          <t>Integration complexity</t>
        </is>
      </c>
      <c r="D4" s="6" t="inlineStr">
        <is>
          <t>Allocation</t>
        </is>
      </c>
    </row>
    <row r="5">
      <c r="A5" s="13" t="inlineStr">
        <is>
          <t>Severnvale WTW</t>
        </is>
      </c>
      <c r="B5" s="13" t="n">
        <v>4</v>
      </c>
      <c r="C5" s="13" t="inlineStr">
        <is>
          <t>High</t>
        </is>
      </c>
      <c r="D5" s="8" t="n">
        <v>30833</v>
      </c>
    </row>
    <row r="6">
      <c r="A6" s="13" t="inlineStr">
        <is>
          <t>Coldharbour STW</t>
        </is>
      </c>
      <c r="B6" s="13" t="n">
        <v>2.5</v>
      </c>
      <c r="C6" s="13" t="inlineStr">
        <is>
          <t>Medium</t>
        </is>
      </c>
      <c r="D6" s="8" t="n">
        <v>19271</v>
      </c>
    </row>
    <row r="7">
      <c r="A7" s="13" t="inlineStr">
        <is>
          <t>Marsh Lane WTW</t>
        </is>
      </c>
      <c r="B7" s="13" t="n">
        <v>2</v>
      </c>
      <c r="C7" s="13" t="inlineStr">
        <is>
          <t>Medium</t>
        </is>
      </c>
      <c r="D7" s="8" t="n">
        <v>15417</v>
      </c>
    </row>
    <row r="8">
      <c r="A8" s="13" t="inlineStr">
        <is>
          <t>Penstone Reservoir &amp; Pumping</t>
        </is>
      </c>
      <c r="B8" s="13" t="n">
        <v>3</v>
      </c>
      <c r="C8" s="13" t="inlineStr">
        <is>
          <t>High</t>
        </is>
      </c>
      <c r="D8" s="8" t="n">
        <v>23125</v>
      </c>
    </row>
    <row r="9">
      <c r="A9" s="13" t="inlineStr">
        <is>
          <t>Aldermoor STW</t>
        </is>
      </c>
      <c r="B9" s="13" t="n">
        <v>1.5</v>
      </c>
      <c r="C9" s="13" t="inlineStr">
        <is>
          <t>Low</t>
        </is>
      </c>
      <c r="D9" s="8" t="n">
        <v>11562</v>
      </c>
    </row>
    <row r="10">
      <c r="A10" s="13" t="inlineStr">
        <is>
          <t>Brookend WTW</t>
        </is>
      </c>
      <c r="B10" s="13" t="n">
        <v>2</v>
      </c>
      <c r="C10" s="13" t="inlineStr">
        <is>
          <t>Medium</t>
        </is>
      </c>
      <c r="D10" s="8" t="n">
        <v>15417</v>
      </c>
    </row>
    <row r="11">
      <c r="A11" s="13" t="inlineStr">
        <is>
          <t>Whitcliffe STW</t>
        </is>
      </c>
      <c r="B11" s="13" t="n">
        <v>1.5</v>
      </c>
      <c r="C11" s="13" t="inlineStr">
        <is>
          <t>Low</t>
        </is>
      </c>
      <c r="D11" s="8" t="n">
        <v>11562</v>
      </c>
    </row>
    <row r="12">
      <c r="A12" s="13" t="inlineStr">
        <is>
          <t>Longford WTW</t>
        </is>
      </c>
      <c r="B12" s="13" t="n">
        <v>2</v>
      </c>
      <c r="C12" s="13" t="inlineStr">
        <is>
          <t>Medium</t>
        </is>
      </c>
      <c r="D12" s="8" t="n">
        <v>15417</v>
      </c>
    </row>
    <row r="13">
      <c r="A13" s="13" t="inlineStr">
        <is>
          <t>Tarnbrook STW</t>
        </is>
      </c>
      <c r="B13" s="13" t="n">
        <v>1.5</v>
      </c>
      <c r="C13" s="13" t="inlineStr">
        <is>
          <t>Low</t>
        </is>
      </c>
      <c r="D13" s="8" t="n">
        <v>11562</v>
      </c>
    </row>
    <row r="14">
      <c r="A14" s="13" t="inlineStr">
        <is>
          <t>Heronfield WTW</t>
        </is>
      </c>
      <c r="B14" s="13" t="n">
        <v>2</v>
      </c>
      <c r="C14" s="13" t="inlineStr">
        <is>
          <t>Medium</t>
        </is>
      </c>
      <c r="D14" s="8" t="n">
        <v>15417</v>
      </c>
    </row>
    <row r="15">
      <c r="A15" s="13" t="inlineStr">
        <is>
          <t>Calder Bridge STW</t>
        </is>
      </c>
      <c r="B15" s="13" t="n">
        <v>2</v>
      </c>
      <c r="C15" s="13" t="inlineStr">
        <is>
          <t>Low</t>
        </is>
      </c>
      <c r="D15" s="8" t="n">
        <v>15417</v>
      </c>
    </row>
    <row r="16">
      <c r="A16" s="4" t="inlineStr">
        <is>
          <t>Total</t>
        </is>
      </c>
      <c r="B16" s="4">
        <f>SUM(B5:B15)</f>
        <v/>
      </c>
      <c r="D16" s="14">
        <f>SUM(D5:D15)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2026-06-30T11:16:49Z</dcterms:created>
  <dcterms:modified xmlns:dcterms="http://purl.org/dc/terms/" xmlns:xsi="http://www.w3.org/2001/XMLSchema-instance" xsi:type="dcterms:W3CDTF">2026-06-30T11:16:49Z</dcterms:modified>
</cp:coreProperties>
</file>