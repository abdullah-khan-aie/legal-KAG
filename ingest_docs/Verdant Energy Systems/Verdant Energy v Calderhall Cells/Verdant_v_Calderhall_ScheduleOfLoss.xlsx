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<sst xmlns="http://schemas.openxmlformats.org/spreadsheetml/2006/main" count="29" uniqueCount="29">
  <si>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Verdant Energy Systems Ltd v Calderhall Cells Ltd</t>
  </si>
  <si>
    <t xml:space="preserve">Claim No. HT-2026-000087  ·  Schedule of Loss  ·  Served 12 May 2025  ·  All figures £ exclusive of VAT</t>
  </si>
  <si>
    <t xml:space="preserve">Item</t>
  </si>
  <si>
    <t xml:space="preserve">Head of loss</t>
  </si>
  <si>
    <t xml:space="preserve">Basis / narrative</t>
  </si>
  <si>
    <t xml:space="preserve">Quantity / basis</t>
  </si>
  <si>
    <t xml:space="preserve">Unit (£)</t>
  </si>
  <si>
    <t xml:space="preserve">Amount (£)</t>
  </si>
  <si>
    <t xml:space="preserve">1</t>
  </si>
  <si>
    <t xml:space="preserve">Replacement cells and modules (String B)</t>
  </si>
  <si>
    <t xml:space="preserve">Purchase of replacement LFP cells and 28 replacement modules from alternative qualified supplier (Northvale Cells Ltd)</t>
  </si>
  <si>
    <t xml:space="preserve">2</t>
  </si>
  <si>
    <t xml:space="preserve">Removal and reinstallation labour</t>
  </si>
  <si>
    <t xml:space="preserve">Removal of defective String B modules, reinstallation of replacements, recommissioning labour (1,400 hrs)</t>
  </si>
  <si>
    <t xml:space="preserve">3</t>
  </si>
  <si>
    <t xml:space="preserve">Failure investigation and testing</t>
  </si>
  <si>
    <t xml:space="preserve">Wraysbury Materials Laboratory destructive/non-destructive analysis and report (24 Jan 2025) plus screening of Strings A &amp; C</t>
  </si>
  <si>
    <t xml:space="preserve">4</t>
  </si>
  <si>
    <t xml:space="preserve">Extended preliminaries (commissioning delay)</t>
  </si>
  <si>
    <t xml:space="preserve">Site preliminaries, plant hire, supervision and standby for 8-week delay period</t>
  </si>
  <si>
    <t xml:space="preserve">5</t>
  </si>
  <si>
    <t xml:space="preserve">Liquidated damages paid to EPC counterparty</t>
  </si>
  <si>
    <t xml:space="preserve">LDs paid to Halloway Renewables Ltd under EPC contract for late energisation (£80,000/week × 8 weeks)</t>
  </si>
  <si>
    <t xml:space="preserve">6</t>
  </si>
  <si>
    <t xml:space="preserve">Lost availability revenue</t>
  </si>
  <si>
    <t xml:space="preserve">Net availability / capacity-market revenue forgone during 8-week delay</t>
  </si>
  <si>
    <t xml:space="preserve">TOTAL CLAIM</t>
  </si>
  <si>
    <t xml:space="preserve">Interest (s.35A Senior Courts Act 1981) claimed at 4% over base from dates loss incurred to judgment — to be computed.</t>
  </si>
  <si>
    <t xml:space="preserve">Note: liability cap (clause 11) and exclusion of consequential loss are in issue; items 5 and 6 are pleaded as direct losses.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</si>
</sst>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5.05" hidden="false" customHeight="false" outlineLevel="0" collapsed="false">
      <c r="A5" s="4" t="s">
        <v>8</v>
      </c>
      <c r="B5" s="5" t="s">
        <v>9</v>
      </c>
      <c r="C5" s="5" t="s">
        <v>10</v>
      </c>
      <c r="D5" s="6" t="n">
        <v>28</v>
      </c>
      <c r="E5" s="7" t="n">
        <v>36250</v>
      </c>
      <c r="F5" s="8" t="n">
        <f aca="false">D5*E5</f>
        <v>1015000</v>
      </c>
    </row>
    <row r="6" customFormat="false" ht="23.85" hidden="false" customHeight="false" outlineLevel="0" collapsed="false">
      <c r="A6" s="9" t="s">
        <v>11</v>
      </c>
      <c r="B6" s="10" t="s">
        <v>12</v>
      </c>
      <c r="C6" s="10" t="s">
        <v>13</v>
      </c>
      <c r="D6" s="11" t="n">
        <v>1</v>
      </c>
      <c r="E6" s="12" t="n">
        <v>268400</v>
      </c>
      <c r="F6" s="13" t="n">
        <f aca="false">D6*E6</f>
        <v>268400</v>
      </c>
    </row>
    <row r="7" customFormat="false" ht="35.05" hidden="false" customHeight="false" outlineLevel="0" collapsed="false">
      <c r="A7" s="4" t="s">
        <v>14</v>
      </c>
      <c r="B7" s="5" t="s">
        <v>15</v>
      </c>
      <c r="C7" s="5" t="s">
        <v>16</v>
      </c>
      <c r="D7" s="6" t="n">
        <v>1</v>
      </c>
      <c r="E7" s="7" t="n">
        <v>74600</v>
      </c>
      <c r="F7" s="8" t="n">
        <f aca="false">D7*E7</f>
        <v>74600</v>
      </c>
    </row>
    <row r="8" customFormat="false" ht="23.85" hidden="false" customHeight="false" outlineLevel="0" collapsed="false">
      <c r="A8" s="9" t="s">
        <v>17</v>
      </c>
      <c r="B8" s="10" t="s">
        <v>18</v>
      </c>
      <c r="C8" s="10" t="s">
        <v>19</v>
      </c>
      <c r="D8" s="11" t="n">
        <v>8</v>
      </c>
      <c r="E8" s="12" t="n">
        <v>24150</v>
      </c>
      <c r="F8" s="13" t="n">
        <f aca="false">D8*E8</f>
        <v>193200</v>
      </c>
    </row>
    <row r="9" customFormat="false" ht="23.85" hidden="false" customHeight="false" outlineLevel="0" collapsed="false">
      <c r="A9" s="4" t="s">
        <v>20</v>
      </c>
      <c r="B9" s="5" t="s">
        <v>21</v>
      </c>
      <c r="C9" s="5" t="s">
        <v>22</v>
      </c>
      <c r="D9" s="6" t="n">
        <v>8</v>
      </c>
      <c r="E9" s="7" t="n">
        <v>80000</v>
      </c>
      <c r="F9" s="8" t="n">
        <f aca="false">D9*E9</f>
        <v>640000</v>
      </c>
    </row>
    <row r="10" customFormat="false" ht="23.85" hidden="false" customHeight="false" outlineLevel="0" collapsed="false">
      <c r="A10" s="9" t="s">
        <v>23</v>
      </c>
      <c r="B10" s="10" t="s">
        <v>24</v>
      </c>
      <c r="C10" s="10" t="s">
        <v>25</v>
      </c>
      <c r="D10" s="11" t="n">
        <v>8</v>
      </c>
      <c r="E10" s="12" t="n">
        <v>35500</v>
      </c>
      <c r="F10" s="13" t="n">
        <f aca="false">D10*E10</f>
        <v>284000</v>
      </c>
    </row>
    <row r="11" customFormat="false" ht="15" hidden="false" customHeight="false" outlineLevel="0" collapsed="false">
      <c r="A11" s="14"/>
      <c r="B11" s="15" t="s">
        <v>26</v>
      </c>
      <c r="C11" s="14"/>
      <c r="D11" s="14"/>
      <c r="E11" s="14"/>
      <c r="F11" s="16" t="n">
        <f aca="false">SUM(F5:F10)</f>
        <v>2475200</v>
      </c>
    </row>
    <row r="13" customFormat="false" ht="15" hidden="false" customHeight="false" outlineLevel="0" collapsed="false">
      <c r="B13" s="17" t="s">
        <v>27</v>
      </c>
    </row>
    <row r="14" customFormat="false" ht="15" hidden="false" customHeight="false" outlineLevel="0" collapsed="false">
      <c r="B14" s="1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2026-06-25T20:56:04Z</dcterms:created>
  <dc:creator>openpyxl</dc:creator>
  <dc:description/>
  <dc:language>en-US</dc:language>
  <cp:lastModifiedBy/>
  <dcterms:modified xsi:type="dcterms:W3CDTF">2026-06-25T20:56:04Z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